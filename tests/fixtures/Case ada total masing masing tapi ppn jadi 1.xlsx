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INTARI\PROJECT\2026\HOTEL ASTON CANGGU\"/>
    </mc:Choice>
  </mc:AlternateContent>
  <xr:revisionPtr revIDLastSave="0" documentId="13_ncr:1_{F895D010-5F52-4CB2-9861-1C8E50DAFECA}" xr6:coauthVersionLast="47" xr6:coauthVersionMax="47" xr10:uidLastSave="{00000000-0000-0000-0000-000000000000}"/>
  <bookViews>
    <workbookView xWindow="-120" yWindow="-120" windowWidth="29040" windowHeight="15720" xr2:uid="{01559DE8-9201-4251-8263-0BCBB747C057}"/>
  </bookViews>
  <sheets>
    <sheet name="MEP " sheetId="1" r:id="rId1"/>
  </sheets>
  <definedNames>
    <definedName name="_xlnm.Print_Area" localSheetId="0">'MEP '!$A$1:$H$59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35" i="1"/>
  <c r="H36" i="1" s="1"/>
  <c r="H33" i="1"/>
  <c r="G22" i="1"/>
  <c r="G21" i="1"/>
  <c r="G20" i="1"/>
  <c r="F32" i="1"/>
  <c r="G32" i="1" s="1"/>
  <c r="F26" i="1"/>
  <c r="G26" i="1" s="1"/>
  <c r="F27" i="1"/>
  <c r="G27" i="1" s="1"/>
  <c r="F28" i="1"/>
  <c r="G28" i="1" s="1"/>
  <c r="H28" i="1" s="1"/>
  <c r="F29" i="1"/>
  <c r="G29" i="1" s="1"/>
  <c r="F30" i="1"/>
  <c r="G30" i="1" s="1"/>
  <c r="F31" i="1"/>
  <c r="G31" i="1" s="1"/>
  <c r="F25" i="1"/>
  <c r="G25" i="1" s="1"/>
  <c r="F21" i="1"/>
  <c r="F22" i="1"/>
  <c r="F20" i="1"/>
  <c r="H37" i="1" l="1"/>
  <c r="H26" i="1"/>
  <c r="H27" i="1"/>
  <c r="H29" i="1"/>
  <c r="H30" i="1"/>
  <c r="H31" i="1"/>
  <c r="H32" i="1"/>
  <c r="H22" i="1" l="1"/>
  <c r="H21" i="1"/>
  <c r="H25" i="1"/>
  <c r="H20" i="1" l="1"/>
</calcChain>
</file>

<file path=xl/sharedStrings.xml><?xml version="1.0" encoding="utf-8"?>
<sst xmlns="http://schemas.openxmlformats.org/spreadsheetml/2006/main" count="70" uniqueCount="58">
  <si>
    <t xml:space="preserve">Customer </t>
  </si>
  <si>
    <t>QUOTATION</t>
  </si>
  <si>
    <t>Company</t>
  </si>
  <si>
    <t>Quotation No.</t>
  </si>
  <si>
    <t>CC</t>
  </si>
  <si>
    <t>Date</t>
  </si>
  <si>
    <t>Quotation Valid Until</t>
  </si>
  <si>
    <t>Phone</t>
  </si>
  <si>
    <t>Project</t>
  </si>
  <si>
    <t>Dengan hormat,</t>
  </si>
  <si>
    <t>NO.</t>
  </si>
  <si>
    <t>DESCRIPTION</t>
  </si>
  <si>
    <t>UNIT</t>
  </si>
  <si>
    <t>QTY</t>
  </si>
  <si>
    <t>UNIT PRICE</t>
  </si>
  <si>
    <t>TOTAL</t>
  </si>
  <si>
    <t>Rp.</t>
  </si>
  <si>
    <t>NOTE :</t>
  </si>
  <si>
    <t xml:space="preserve">    </t>
  </si>
  <si>
    <t>Demikian penawaran ini kami sampaikan, besar harapan kami mendapat respon dan hasil positif dari Bapak/Ibu.</t>
  </si>
  <si>
    <t>Atas perhatian dan kerjasamanya, kami ucapkan terima kasih.</t>
  </si>
  <si>
    <t>Bersama ini kami sampaikan penawaran harga kepada Bapak/Ibu dengan rincian sebagai berikut :</t>
  </si>
  <si>
    <t>PPN 11%</t>
  </si>
  <si>
    <t xml:space="preserve">     BRI Cabang Denpasar</t>
  </si>
  <si>
    <t>Address</t>
  </si>
  <si>
    <t>A</t>
  </si>
  <si>
    <t>B</t>
  </si>
  <si>
    <t>1. Jika setuju dengan penawaran diatas maka di lakukan Deposit sebesar 70%</t>
  </si>
  <si>
    <t>Total B</t>
  </si>
  <si>
    <t>Total A</t>
  </si>
  <si>
    <t xml:space="preserve">     Nomor Rekening : 0556.01.001641.30.9 A/N PT MAHA PUTRA ENGINEERING</t>
  </si>
  <si>
    <t>2. Apabila ada penambahan material/jasa diluar penawaran, maka akan dikenakan biaya</t>
  </si>
  <si>
    <t>3. Pembayaran dapat ditransfer ke rekening kami :</t>
  </si>
  <si>
    <t xml:space="preserve">HARGA VENDOR  </t>
  </si>
  <si>
    <t>TOTAL (A+B)</t>
  </si>
  <si>
    <t>: 26.MPE.SWA.00103</t>
  </si>
  <si>
    <t>: 08 Agustus 2026</t>
  </si>
  <si>
    <t>: 08 September 2026</t>
  </si>
  <si>
    <t xml:space="preserve">: Aston Canggu Beach Resort </t>
  </si>
  <si>
    <t xml:space="preserve">: Bapak Murdita/Bapak Pung </t>
  </si>
  <si>
    <t xml:space="preserve">: Jl. Pantai Batu Bolong No 99, Canggu, Kuta Utara  </t>
  </si>
  <si>
    <t>: 085792751615</t>
  </si>
  <si>
    <t xml:space="preserve">: Instalasi Cek, Service, Supply dan Install System Fire Hydrant </t>
  </si>
  <si>
    <t>Pekerjaan Area Pump Room</t>
  </si>
  <si>
    <t>Cek installasi dan unit panel kontrol fire hydrant (unit, accessories, pengkabelan dan lain-lain apabila ada temuan yang bermasalah dan harus diservice)</t>
  </si>
  <si>
    <t>Cek unit baterai charger ACCU 2 unit diesel pump (lamp, kabel jumper, dan accessories lainnya apabila ada temuan yang bermasalah dan harus diservice atau diganti)</t>
  </si>
  <si>
    <t>Supervisi dan test commisioning</t>
  </si>
  <si>
    <t>lot</t>
  </si>
  <si>
    <t>up 35%</t>
  </si>
  <si>
    <t>Pekerjaan Area Eksternal</t>
  </si>
  <si>
    <t>Test kebocoran installasi dan unit system fire hydrant</t>
  </si>
  <si>
    <t>Bongkar unit seames connection 2 way dan hydrant pillar 2 way</t>
  </si>
  <si>
    <t>Supply dan install seames connection 2 way include accessories dan material bantu</t>
  </si>
  <si>
    <t>Supply dan install check valve dia 4" include accessories dan material bantu</t>
  </si>
  <si>
    <t>Supply dan install hydrant pillar 2 way include accessories dan material bantu</t>
  </si>
  <si>
    <t>Supply dan install fitting-fitting</t>
  </si>
  <si>
    <t>Supply dan install pondasi seames connection dan hydrant pillar termasuk perapihan, acian, dan cat pelindungnya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</si>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</sst>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[$Rp-421]* #,##0_-;\-[$Rp-421]* #,##0_-;_-[$Rp-421]* &quot;-&quot;_-;_-@_-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4">
    <xf numFmtId="0" fontId="0" fillId="0" borderId="0" xfId="0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165" fontId="3" fillId="2" borderId="0" xfId="0" applyNumberFormat="1" applyFont="1" applyFill="1" applyAlignment="1">
      <alignment vertical="center"/>
    </xf>
    <xf numFmtId="165" fontId="0" fillId="0" borderId="0" xfId="0" applyNumberFormat="1"/>
    <xf numFmtId="0" fontId="5" fillId="0" borderId="0" xfId="0" applyFont="1"/>
    <xf numFmtId="164" fontId="0" fillId="0" borderId="0" xfId="2" applyFont="1"/>
    <xf numFmtId="164" fontId="5" fillId="0" borderId="0" xfId="2" applyFont="1"/>
    <xf numFmtId="0" fontId="6" fillId="0" borderId="0" xfId="1" applyFont="1"/>
    <xf numFmtId="0" fontId="7" fillId="0" borderId="0" xfId="1" applyFont="1"/>
    <xf numFmtId="0" fontId="6" fillId="0" borderId="0" xfId="0" applyFont="1"/>
    <xf numFmtId="165" fontId="6" fillId="0" borderId="0" xfId="0" applyNumberFormat="1" applyFont="1"/>
    <xf numFmtId="43" fontId="6" fillId="0" borderId="0" xfId="0" applyNumberFormat="1" applyFont="1"/>
    <xf numFmtId="165" fontId="3" fillId="2" borderId="3" xfId="0" applyNumberFormat="1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41" fontId="7" fillId="0" borderId="7" xfId="0" applyNumberFormat="1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/>
    </xf>
    <xf numFmtId="41" fontId="6" fillId="0" borderId="12" xfId="0" applyNumberFormat="1" applyFont="1" applyBorder="1" applyAlignment="1">
      <alignment horizontal="center" vertical="center"/>
    </xf>
    <xf numFmtId="41" fontId="6" fillId="0" borderId="13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41" fontId="6" fillId="0" borderId="16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41" fontId="6" fillId="0" borderId="19" xfId="0" applyNumberFormat="1" applyFont="1" applyBorder="1" applyAlignment="1">
      <alignment horizontal="center" vertical="center"/>
    </xf>
    <xf numFmtId="43" fontId="6" fillId="0" borderId="0" xfId="0" applyNumberFormat="1" applyFont="1" applyFill="1"/>
    <xf numFmtId="0" fontId="6" fillId="0" borderId="0" xfId="1" applyFont="1" applyAlignment="1">
      <alignment vertical="top"/>
    </xf>
    <xf numFmtId="41" fontId="6" fillId="0" borderId="15" xfId="0" applyNumberFormat="1" applyFont="1" applyFill="1" applyBorder="1" applyAlignment="1">
      <alignment horizontal="center" vertical="center"/>
    </xf>
    <xf numFmtId="0" fontId="7" fillId="0" borderId="11" xfId="0" quotePrefix="1" applyFont="1" applyFill="1" applyBorder="1" applyAlignment="1">
      <alignment horizontal="center" vertical="center" wrapText="1"/>
    </xf>
    <xf numFmtId="0" fontId="7" fillId="0" borderId="12" xfId="0" quotePrefix="1" applyFont="1" applyFill="1" applyBorder="1" applyAlignment="1">
      <alignment horizontal="left" vertical="center" wrapText="1"/>
    </xf>
    <xf numFmtId="0" fontId="7" fillId="0" borderId="12" xfId="0" quotePrefix="1" applyFont="1" applyFill="1" applyBorder="1" applyAlignment="1">
      <alignment horizontal="center" vertical="center" wrapText="1"/>
    </xf>
    <xf numFmtId="0" fontId="7" fillId="0" borderId="12" xfId="0" quotePrefix="1" applyFont="1" applyFill="1" applyBorder="1" applyAlignment="1">
      <alignment horizontal="right" vertical="center" wrapText="1"/>
    </xf>
    <xf numFmtId="41" fontId="7" fillId="0" borderId="13" xfId="0" applyNumberFormat="1" applyFont="1" applyFill="1" applyBorder="1" applyAlignment="1">
      <alignment horizontal="center" vertical="center"/>
    </xf>
    <xf numFmtId="0" fontId="6" fillId="0" borderId="15" xfId="0" quotePrefix="1" applyFont="1" applyFill="1" applyBorder="1" applyAlignment="1">
      <alignment horizontal="center" vertical="center" wrapText="1"/>
    </xf>
    <xf numFmtId="166" fontId="6" fillId="0" borderId="15" xfId="3" quotePrefix="1" applyNumberFormat="1" applyFont="1" applyFill="1" applyBorder="1" applyAlignment="1">
      <alignment horizontal="right" vertical="center" wrapText="1"/>
    </xf>
    <xf numFmtId="41" fontId="6" fillId="0" borderId="16" xfId="0" applyNumberFormat="1" applyFont="1" applyFill="1" applyBorder="1" applyAlignment="1">
      <alignment horizontal="center" vertical="center"/>
    </xf>
    <xf numFmtId="0" fontId="0" fillId="3" borderId="0" xfId="0" applyFill="1"/>
    <xf numFmtId="164" fontId="0" fillId="3" borderId="0" xfId="2" applyFont="1" applyFill="1"/>
    <xf numFmtId="166" fontId="0" fillId="0" borderId="0" xfId="3" applyNumberFormat="1" applyFont="1"/>
    <xf numFmtId="166" fontId="0" fillId="0" borderId="0" xfId="3" applyNumberFormat="1" applyFont="1" applyAlignment="1">
      <alignment vertical="center"/>
    </xf>
    <xf numFmtId="166" fontId="6" fillId="0" borderId="0" xfId="3" applyNumberFormat="1" applyFont="1"/>
    <xf numFmtId="166" fontId="7" fillId="0" borderId="0" xfId="3" applyNumberFormat="1" applyFont="1" applyAlignment="1">
      <alignment horizontal="left" wrapText="1"/>
    </xf>
    <xf numFmtId="166" fontId="6" fillId="0" borderId="12" xfId="3" applyNumberFormat="1" applyFont="1" applyBorder="1" applyAlignment="1">
      <alignment horizontal="center" vertical="center"/>
    </xf>
    <xf numFmtId="166" fontId="6" fillId="0" borderId="15" xfId="3" applyNumberFormat="1" applyFont="1" applyBorder="1" applyAlignment="1">
      <alignment horizontal="center" vertical="center"/>
    </xf>
    <xf numFmtId="166" fontId="6" fillId="0" borderId="18" xfId="3" applyNumberFormat="1" applyFont="1" applyBorder="1" applyAlignment="1">
      <alignment horizontal="center" vertical="center"/>
    </xf>
    <xf numFmtId="166" fontId="7" fillId="0" borderId="12" xfId="3" quotePrefix="1" applyNumberFormat="1" applyFont="1" applyFill="1" applyBorder="1" applyAlignment="1">
      <alignment horizontal="center" vertical="center" wrapText="1"/>
    </xf>
    <xf numFmtId="166" fontId="6" fillId="0" borderId="15" xfId="3" quotePrefix="1" applyNumberFormat="1" applyFont="1" applyFill="1" applyBorder="1" applyAlignment="1">
      <alignment horizontal="center" vertical="center" wrapText="1"/>
    </xf>
    <xf numFmtId="166" fontId="6" fillId="0" borderId="0" xfId="3" applyNumberFormat="1" applyFont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7" fillId="0" borderId="20" xfId="0" quotePrefix="1" applyFont="1" applyFill="1" applyBorder="1" applyAlignment="1">
      <alignment horizontal="center" vertical="center" wrapText="1"/>
    </xf>
    <xf numFmtId="0" fontId="7" fillId="0" borderId="21" xfId="0" quotePrefix="1" applyFont="1" applyFill="1" applyBorder="1" applyAlignment="1">
      <alignment horizontal="center" vertical="center" wrapText="1"/>
    </xf>
    <xf numFmtId="0" fontId="7" fillId="0" borderId="26" xfId="0" quotePrefix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7" fillId="0" borderId="5" xfId="0" quotePrefix="1" applyFont="1" applyBorder="1" applyAlignment="1">
      <alignment horizontal="right" vertical="center"/>
    </xf>
    <xf numFmtId="0" fontId="7" fillId="0" borderId="6" xfId="0" quotePrefix="1" applyFont="1" applyBorder="1" applyAlignment="1">
      <alignment horizontal="right" vertical="center"/>
    </xf>
    <xf numFmtId="0" fontId="3" fillId="2" borderId="22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7" fillId="0" borderId="0" xfId="1" applyFont="1" applyAlignment="1">
      <alignment horizontal="left" wrapText="1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0" borderId="5" xfId="0" quotePrefix="1" applyFont="1" applyBorder="1" applyAlignment="1">
      <alignment horizontal="right" vertical="center" wrapText="1"/>
    </xf>
    <xf numFmtId="0" fontId="7" fillId="0" borderId="6" xfId="0" quotePrefix="1" applyFont="1" applyBorder="1" applyAlignment="1">
      <alignment horizontal="right" vertical="center" wrapText="1"/>
    </xf>
    <xf numFmtId="166" fontId="3" fillId="2" borderId="28" xfId="3" applyNumberFormat="1" applyFont="1" applyFill="1" applyBorder="1" applyAlignment="1">
      <alignment horizontal="center" vertical="center" wrapText="1"/>
    </xf>
    <xf numFmtId="166" fontId="3" fillId="2" borderId="29" xfId="3" applyNumberFormat="1" applyFont="1" applyFill="1" applyBorder="1" applyAlignment="1">
      <alignment horizontal="center" vertical="center" wrapText="1"/>
    </xf>
    <xf numFmtId="0" fontId="6" fillId="0" borderId="15" xfId="0" applyFont="1" applyBorder="1" applyAlignment="1">
      <alignment vertical="top" wrapText="1"/>
    </xf>
    <xf numFmtId="0" fontId="6" fillId="0" borderId="18" xfId="0" applyFont="1" applyBorder="1" applyAlignment="1">
      <alignment vertical="top" wrapText="1"/>
    </xf>
    <xf numFmtId="0" fontId="6" fillId="0" borderId="18" xfId="0" quotePrefix="1" applyFont="1" applyFill="1" applyBorder="1" applyAlignment="1">
      <alignment horizontal="center" vertical="center" wrapText="1"/>
    </xf>
    <xf numFmtId="166" fontId="6" fillId="0" borderId="18" xfId="3" quotePrefix="1" applyNumberFormat="1" applyFont="1" applyFill="1" applyBorder="1" applyAlignment="1">
      <alignment horizontal="center" vertical="center" wrapText="1"/>
    </xf>
    <xf numFmtId="166" fontId="6" fillId="0" borderId="18" xfId="3" quotePrefix="1" applyNumberFormat="1" applyFont="1" applyFill="1" applyBorder="1" applyAlignment="1">
      <alignment horizontal="right" vertical="center" wrapText="1"/>
    </xf>
    <xf numFmtId="41" fontId="6" fillId="0" borderId="19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vertical="top" wrapText="1"/>
    </xf>
    <xf numFmtId="41" fontId="6" fillId="0" borderId="18" xfId="0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top"/>
    </xf>
    <xf numFmtId="0" fontId="6" fillId="0" borderId="14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7" fillId="0" borderId="5" xfId="0" quotePrefix="1" applyFont="1" applyFill="1" applyBorder="1" applyAlignment="1">
      <alignment horizontal="right" vertical="center" wrapText="1"/>
    </xf>
    <xf numFmtId="0" fontId="7" fillId="0" borderId="6" xfId="0" quotePrefix="1" applyFont="1" applyFill="1" applyBorder="1" applyAlignment="1">
      <alignment horizontal="right" vertical="center" wrapText="1"/>
    </xf>
    <xf numFmtId="41" fontId="7" fillId="0" borderId="7" xfId="0" applyNumberFormat="1" applyFont="1" applyFill="1" applyBorder="1" applyAlignment="1">
      <alignment horizontal="center" vertical="center"/>
    </xf>
    <xf numFmtId="41" fontId="7" fillId="0" borderId="30" xfId="0" applyNumberFormat="1" applyFont="1" applyBorder="1" applyAlignment="1">
      <alignment horizontal="center" vertical="center"/>
    </xf>
  </cellXfs>
  <cellStyles count="4">
    <cellStyle name="Comma" xfId="3" builtinId="3"/>
    <cellStyle name="Comma [0]" xfId="2" builtinId="6"/>
    <cellStyle name="Normal" xfId="0" builtinId="0"/>
    <cellStyle name="Normal 2" xfId="1" xr:uid="{A7C61074-875A-437D-AD77-FFA0CFA619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226060</xdr:colOff>
      <xdr:row>47</xdr:row>
      <xdr:rowOff>36195</xdr:rowOff>
    </xdr:from>
    <xdr:to>
      <xdr:col>7</xdr:col>
      <xdr:colOff>1655885</xdr:colOff>
      <xdr:row>59</xdr:row>
      <xdr:rowOff>102577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35C76A-68F8-4F15-9EAE-6B502C618093}"/>
            </a:ext>
          </a:extLst>
        </xdr:cNvPr>
        <xdr:cNvSpPr txBox="1"/>
      </xdr:nvSpPr>
      <xdr:spPr>
        <a:xfrm>
          <a:off x="5779868" y="14089233"/>
          <a:ext cx="3745132" cy="23523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Approved By,</a:t>
          </a:r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US" sz="1600" b="1" u="sng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I Putu Gede Putra Adnyana, S.T., M.M.</a:t>
          </a:r>
        </a:p>
        <a:p>
          <a:pPr algn="ctr"/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Direktur</a:t>
          </a:r>
          <a:endParaRPr lang="en-US" sz="1600">
            <a:effectLst/>
          </a:endParaRPr>
        </a:p>
      </xdr:txBody>
    </xdr:sp>
    <xdr:clientData/>
  </xdr:twoCellAnchor>
  <xdr:twoCellAnchor>
    <xdr:from>
      <xdr:col>0</xdr:col>
      <xdr:colOff>409575</xdr:colOff>
      <xdr:row>48</xdr:row>
      <xdr:rowOff>19050</xdr:rowOff>
    </xdr:from>
    <xdr:to>
      <xdr:col>1</xdr:col>
      <xdr:colOff>3311769</xdr:colOff>
      <xdr:row>58</xdr:row>
      <xdr:rowOff>168519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7AFA960-C74D-425E-8968-7890E6FAA785}"/>
            </a:ext>
          </a:extLst>
        </xdr:cNvPr>
        <xdr:cNvSpPr txBox="1"/>
      </xdr:nvSpPr>
      <xdr:spPr>
        <a:xfrm>
          <a:off x="409575" y="10877550"/>
          <a:ext cx="3576271" cy="20544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Prepared by,</a:t>
          </a:r>
        </a:p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PT MAHA </a:t>
          </a:r>
          <a:r>
            <a:rPr lang="id-ID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PUTRA ENGINEERING</a:t>
          </a: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US" sz="1600" b="1" u="sng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Wintari</a:t>
          </a:r>
        </a:p>
        <a:p>
          <a:pPr marL="0" indent="0" algn="ctr"/>
          <a:r>
            <a:rPr lang="id-ID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Admin Back Office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B22B-ACEF-4EE6-9010-0E96248A525B}">
  <dimension ref="A1:J47"/>
  <sheetViews>
    <sheetView tabSelected="1" view="pageBreakPreview" topLeftCell="A28" zoomScale="130" zoomScaleNormal="100" zoomScaleSheetLayoutView="130" workbookViewId="0">
      <selection activeCell="A39" sqref="A39:H39"/>
    </sheetView>
  </sheetViews>
  <sheetFormatPr defaultRowHeight="15" x14ac:dyDescent="0.25"/>
  <cols>
    <col min="1" max="1" width="12.7109375" customWidth="1"/>
    <col min="2" max="2" width="78.85546875" customWidth="1"/>
    <col min="3" max="3" width="11" customWidth="1"/>
    <col min="4" max="4" width="7.5703125" customWidth="1"/>
    <col min="5" max="5" width="23.5703125" style="43" hidden="1" customWidth="1"/>
    <col min="6" max="6" width="15.5703125" style="43" hidden="1" customWidth="1"/>
    <col min="7" max="8" width="28.140625" style="5" customWidth="1"/>
    <col min="10" max="10" width="20.7109375" style="7" customWidth="1"/>
    <col min="11" max="11" width="20.7109375" customWidth="1"/>
  </cols>
  <sheetData>
    <row r="1" spans="1:8" hidden="1" x14ac:dyDescent="0.25"/>
    <row r="2" spans="1:8" hidden="1" x14ac:dyDescent="0.25"/>
    <row r="3" spans="1:8" hidden="1" x14ac:dyDescent="0.25"/>
    <row r="4" spans="1:8" hidden="1" x14ac:dyDescent="0.25"/>
    <row r="5" spans="1:8" hidden="1" x14ac:dyDescent="0.25"/>
    <row r="6" spans="1:8" hidden="1" x14ac:dyDescent="0.25"/>
    <row r="7" spans="1:8" ht="21" x14ac:dyDescent="0.25">
      <c r="A7" s="1" t="s">
        <v>0</v>
      </c>
      <c r="B7" s="2"/>
      <c r="C7" s="3"/>
      <c r="D7" s="3"/>
      <c r="E7" s="44"/>
      <c r="F7" s="44"/>
      <c r="G7" s="4" t="s">
        <v>1</v>
      </c>
    </row>
    <row r="8" spans="1:8" ht="21" x14ac:dyDescent="0.35">
      <c r="A8" s="9" t="s">
        <v>2</v>
      </c>
      <c r="B8" s="10" t="s">
        <v>38</v>
      </c>
      <c r="C8" s="11"/>
      <c r="D8" s="11"/>
      <c r="E8" s="45"/>
      <c r="F8" s="45"/>
      <c r="G8" s="12" t="s">
        <v>3</v>
      </c>
      <c r="H8" s="30" t="s">
        <v>35</v>
      </c>
    </row>
    <row r="9" spans="1:8" ht="21" x14ac:dyDescent="0.35">
      <c r="A9" s="9" t="s">
        <v>4</v>
      </c>
      <c r="B9" s="10" t="s">
        <v>39</v>
      </c>
      <c r="C9" s="11"/>
      <c r="D9" s="11"/>
      <c r="E9" s="45"/>
      <c r="F9" s="45"/>
      <c r="G9" s="12" t="s">
        <v>5</v>
      </c>
      <c r="H9" s="13" t="s">
        <v>36</v>
      </c>
    </row>
    <row r="10" spans="1:8" ht="21" x14ac:dyDescent="0.35">
      <c r="A10" s="9" t="s">
        <v>24</v>
      </c>
      <c r="B10" s="10" t="s">
        <v>40</v>
      </c>
      <c r="C10" s="11"/>
      <c r="D10" s="11"/>
      <c r="E10" s="45"/>
      <c r="F10" s="45"/>
      <c r="G10" s="12" t="s">
        <v>6</v>
      </c>
      <c r="H10" s="13" t="s">
        <v>37</v>
      </c>
    </row>
    <row r="11" spans="1:8" ht="21" x14ac:dyDescent="0.35">
      <c r="A11" s="9" t="s">
        <v>7</v>
      </c>
      <c r="B11" s="10" t="s">
        <v>41</v>
      </c>
      <c r="C11" s="11"/>
      <c r="D11" s="11"/>
      <c r="E11" s="45"/>
      <c r="F11" s="45"/>
      <c r="G11" s="12"/>
      <c r="H11" s="12"/>
    </row>
    <row r="12" spans="1:8" ht="21" x14ac:dyDescent="0.35">
      <c r="A12" s="31" t="s">
        <v>8</v>
      </c>
      <c r="B12" s="70" t="s">
        <v>42</v>
      </c>
      <c r="C12" s="70"/>
      <c r="D12" s="70"/>
      <c r="E12" s="46"/>
      <c r="F12" s="46"/>
      <c r="G12" s="12"/>
      <c r="H12" s="12"/>
    </row>
    <row r="13" spans="1:8" ht="21" x14ac:dyDescent="0.35">
      <c r="A13" s="9"/>
      <c r="B13" s="10"/>
      <c r="C13" s="11"/>
      <c r="D13" s="11"/>
      <c r="E13" s="45"/>
      <c r="F13" s="45"/>
      <c r="G13" s="12"/>
      <c r="H13" s="12"/>
    </row>
    <row r="14" spans="1:8" ht="21" x14ac:dyDescent="0.35">
      <c r="A14" s="11" t="s">
        <v>9</v>
      </c>
      <c r="B14" s="11"/>
      <c r="C14" s="11"/>
      <c r="D14" s="11"/>
      <c r="E14" s="45"/>
      <c r="F14" s="45"/>
      <c r="G14" s="12"/>
      <c r="H14" s="12"/>
    </row>
    <row r="15" spans="1:8" ht="21" x14ac:dyDescent="0.35">
      <c r="A15" s="11" t="s">
        <v>21</v>
      </c>
      <c r="B15" s="11"/>
      <c r="C15" s="11"/>
      <c r="D15" s="11"/>
      <c r="E15" s="45"/>
      <c r="F15" s="45"/>
      <c r="G15" s="12"/>
      <c r="H15" s="12"/>
    </row>
    <row r="16" spans="1:8" ht="21.75" thickBot="1" x14ac:dyDescent="0.4">
      <c r="A16" s="11"/>
      <c r="B16" s="11"/>
      <c r="C16" s="11"/>
      <c r="D16" s="11"/>
      <c r="E16" s="45"/>
      <c r="F16" s="45"/>
      <c r="G16" s="12"/>
      <c r="H16" s="12"/>
    </row>
    <row r="17" spans="1:10" ht="21.75" thickTop="1" x14ac:dyDescent="0.25">
      <c r="A17" s="71" t="s">
        <v>10</v>
      </c>
      <c r="B17" s="73" t="s">
        <v>11</v>
      </c>
      <c r="C17" s="73" t="s">
        <v>12</v>
      </c>
      <c r="D17" s="73" t="s">
        <v>13</v>
      </c>
      <c r="E17" s="77" t="s">
        <v>33</v>
      </c>
      <c r="F17" s="77" t="s">
        <v>48</v>
      </c>
      <c r="G17" s="14" t="s">
        <v>14</v>
      </c>
      <c r="H17" s="15" t="s">
        <v>15</v>
      </c>
    </row>
    <row r="18" spans="1:10" ht="21" x14ac:dyDescent="0.25">
      <c r="A18" s="72"/>
      <c r="B18" s="74"/>
      <c r="C18" s="74"/>
      <c r="D18" s="74"/>
      <c r="E18" s="78"/>
      <c r="F18" s="78"/>
      <c r="G18" s="16" t="s">
        <v>16</v>
      </c>
      <c r="H18" s="17" t="s">
        <v>16</v>
      </c>
    </row>
    <row r="19" spans="1:10" ht="21" x14ac:dyDescent="0.25">
      <c r="A19" s="21" t="s">
        <v>25</v>
      </c>
      <c r="B19" s="22" t="s">
        <v>43</v>
      </c>
      <c r="C19" s="23"/>
      <c r="D19" s="23"/>
      <c r="E19" s="47"/>
      <c r="F19" s="47"/>
      <c r="G19" s="24"/>
      <c r="H19" s="25"/>
    </row>
    <row r="20" spans="1:10" ht="84" x14ac:dyDescent="0.25">
      <c r="A20" s="87">
        <v>1</v>
      </c>
      <c r="B20" s="85" t="s">
        <v>44</v>
      </c>
      <c r="C20" s="26" t="s">
        <v>47</v>
      </c>
      <c r="D20" s="26">
        <v>1</v>
      </c>
      <c r="E20" s="48">
        <v>8250000</v>
      </c>
      <c r="F20" s="48">
        <f>E20*35%</f>
        <v>2887500</v>
      </c>
      <c r="G20" s="32">
        <f>E20+F20</f>
        <v>11137500</v>
      </c>
      <c r="H20" s="27">
        <f>G20*D20</f>
        <v>11137500</v>
      </c>
    </row>
    <row r="21" spans="1:10" ht="63" x14ac:dyDescent="0.25">
      <c r="A21" s="88">
        <v>2</v>
      </c>
      <c r="B21" s="79" t="s">
        <v>45</v>
      </c>
      <c r="C21" s="26" t="s">
        <v>47</v>
      </c>
      <c r="D21" s="26">
        <v>1</v>
      </c>
      <c r="E21" s="48">
        <v>8800000</v>
      </c>
      <c r="F21" s="48">
        <f t="shared" ref="F21:F22" si="0">E21*35%</f>
        <v>3080000</v>
      </c>
      <c r="G21" s="32">
        <f>E21+F21</f>
        <v>11880000</v>
      </c>
      <c r="H21" s="27">
        <f>G21*D21</f>
        <v>11880000</v>
      </c>
    </row>
    <row r="22" spans="1:10" ht="21" x14ac:dyDescent="0.25">
      <c r="A22" s="89">
        <v>3</v>
      </c>
      <c r="B22" s="80" t="s">
        <v>46</v>
      </c>
      <c r="C22" s="28" t="s">
        <v>47</v>
      </c>
      <c r="D22" s="28">
        <v>1</v>
      </c>
      <c r="E22" s="49">
        <v>1800000</v>
      </c>
      <c r="F22" s="49">
        <f t="shared" si="0"/>
        <v>630000</v>
      </c>
      <c r="G22" s="86">
        <f>E22+F22</f>
        <v>2430000</v>
      </c>
      <c r="H22" s="29">
        <f>G22*D22</f>
        <v>2430000</v>
      </c>
    </row>
    <row r="23" spans="1:10" ht="21" x14ac:dyDescent="0.25">
      <c r="A23" s="75" t="s">
        <v>29</v>
      </c>
      <c r="B23" s="76"/>
      <c r="C23" s="76"/>
      <c r="D23" s="76"/>
      <c r="E23" s="76"/>
      <c r="F23" s="76"/>
      <c r="G23" s="76"/>
      <c r="H23" s="20">
        <f>SUM(H19:H22)</f>
        <v>25447500</v>
      </c>
    </row>
    <row r="24" spans="1:10" s="41" customFormat="1" ht="21" x14ac:dyDescent="0.25">
      <c r="A24" s="33" t="s">
        <v>26</v>
      </c>
      <c r="B24" s="34" t="s">
        <v>49</v>
      </c>
      <c r="C24" s="35"/>
      <c r="D24" s="35"/>
      <c r="E24" s="50"/>
      <c r="F24" s="50"/>
      <c r="G24" s="36"/>
      <c r="H24" s="37"/>
      <c r="J24" s="42"/>
    </row>
    <row r="25" spans="1:10" s="41" customFormat="1" ht="42" x14ac:dyDescent="0.25">
      <c r="A25" s="88">
        <v>1</v>
      </c>
      <c r="B25" s="79" t="s">
        <v>50</v>
      </c>
      <c r="C25" s="38" t="s">
        <v>47</v>
      </c>
      <c r="D25" s="38">
        <v>1</v>
      </c>
      <c r="E25" s="51">
        <v>3500000</v>
      </c>
      <c r="F25" s="51">
        <f>E25*35%</f>
        <v>1225000</v>
      </c>
      <c r="G25" s="39">
        <f>E25+F25</f>
        <v>4725000</v>
      </c>
      <c r="H25" s="40">
        <f>G25*D25</f>
        <v>4725000</v>
      </c>
      <c r="J25" s="42"/>
    </row>
    <row r="26" spans="1:10" s="41" customFormat="1" ht="42" x14ac:dyDescent="0.25">
      <c r="A26" s="88">
        <v>2</v>
      </c>
      <c r="B26" s="79" t="s">
        <v>51</v>
      </c>
      <c r="C26" s="38" t="s">
        <v>47</v>
      </c>
      <c r="D26" s="38">
        <v>1</v>
      </c>
      <c r="E26" s="51">
        <v>4500000</v>
      </c>
      <c r="F26" s="51">
        <f t="shared" ref="F26:F31" si="1">E26*35%</f>
        <v>1575000</v>
      </c>
      <c r="G26" s="39">
        <f t="shared" ref="G26:G32" si="2">E26+F26</f>
        <v>6075000</v>
      </c>
      <c r="H26" s="40">
        <f>G26*D26</f>
        <v>6075000</v>
      </c>
      <c r="J26" s="42"/>
    </row>
    <row r="27" spans="1:10" s="41" customFormat="1" ht="42" x14ac:dyDescent="0.25">
      <c r="A27" s="88">
        <v>3</v>
      </c>
      <c r="B27" s="79" t="s">
        <v>52</v>
      </c>
      <c r="C27" s="38" t="s">
        <v>47</v>
      </c>
      <c r="D27" s="38">
        <v>1</v>
      </c>
      <c r="E27" s="51">
        <v>9750000</v>
      </c>
      <c r="F27" s="51">
        <f t="shared" si="1"/>
        <v>3412500</v>
      </c>
      <c r="G27" s="39">
        <f t="shared" si="2"/>
        <v>13162500</v>
      </c>
      <c r="H27" s="40">
        <f>G27*D27</f>
        <v>13162500</v>
      </c>
      <c r="J27" s="42"/>
    </row>
    <row r="28" spans="1:10" s="41" customFormat="1" ht="42" x14ac:dyDescent="0.25">
      <c r="A28" s="88">
        <v>4</v>
      </c>
      <c r="B28" s="79" t="s">
        <v>53</v>
      </c>
      <c r="C28" s="38" t="s">
        <v>47</v>
      </c>
      <c r="D28" s="38">
        <v>1</v>
      </c>
      <c r="E28" s="51">
        <v>14200000</v>
      </c>
      <c r="F28" s="51">
        <f t="shared" si="1"/>
        <v>4970000</v>
      </c>
      <c r="G28" s="39">
        <f t="shared" si="2"/>
        <v>19170000</v>
      </c>
      <c r="H28" s="40">
        <f>G28*D28</f>
        <v>19170000</v>
      </c>
      <c r="J28" s="42"/>
    </row>
    <row r="29" spans="1:10" s="41" customFormat="1" ht="20.25" customHeight="1" x14ac:dyDescent="0.25">
      <c r="A29" s="88">
        <v>5</v>
      </c>
      <c r="B29" s="79" t="s">
        <v>54</v>
      </c>
      <c r="C29" s="38" t="s">
        <v>47</v>
      </c>
      <c r="D29" s="38">
        <v>1</v>
      </c>
      <c r="E29" s="51">
        <v>12600000</v>
      </c>
      <c r="F29" s="51">
        <f t="shared" si="1"/>
        <v>4410000</v>
      </c>
      <c r="G29" s="39">
        <f t="shared" si="2"/>
        <v>17010000</v>
      </c>
      <c r="H29" s="40">
        <f>G29*D29</f>
        <v>17010000</v>
      </c>
      <c r="J29" s="42"/>
    </row>
    <row r="30" spans="1:10" s="41" customFormat="1" ht="21" x14ac:dyDescent="0.25">
      <c r="A30" s="88">
        <v>6</v>
      </c>
      <c r="B30" s="79" t="s">
        <v>55</v>
      </c>
      <c r="C30" s="38" t="s">
        <v>47</v>
      </c>
      <c r="D30" s="38">
        <v>1</v>
      </c>
      <c r="E30" s="51">
        <v>5500000</v>
      </c>
      <c r="F30" s="51">
        <f t="shared" si="1"/>
        <v>1924999.9999999998</v>
      </c>
      <c r="G30" s="39">
        <f t="shared" si="2"/>
        <v>7425000</v>
      </c>
      <c r="H30" s="40">
        <f>G30*D30</f>
        <v>7425000</v>
      </c>
      <c r="J30" s="42"/>
    </row>
    <row r="31" spans="1:10" s="41" customFormat="1" ht="63" x14ac:dyDescent="0.25">
      <c r="A31" s="88">
        <v>7</v>
      </c>
      <c r="B31" s="79" t="s">
        <v>56</v>
      </c>
      <c r="C31" s="38" t="s">
        <v>47</v>
      </c>
      <c r="D31" s="38">
        <v>1</v>
      </c>
      <c r="E31" s="51">
        <v>4500000</v>
      </c>
      <c r="F31" s="51">
        <f t="shared" si="1"/>
        <v>1575000</v>
      </c>
      <c r="G31" s="39">
        <f t="shared" si="2"/>
        <v>6075000</v>
      </c>
      <c r="H31" s="40">
        <f>G31*D31</f>
        <v>6075000</v>
      </c>
      <c r="J31" s="42"/>
    </row>
    <row r="32" spans="1:10" s="41" customFormat="1" ht="21" x14ac:dyDescent="0.25">
      <c r="A32" s="89">
        <v>8</v>
      </c>
      <c r="B32" s="80" t="s">
        <v>46</v>
      </c>
      <c r="C32" s="81" t="s">
        <v>47</v>
      </c>
      <c r="D32" s="81">
        <v>1</v>
      </c>
      <c r="E32" s="82">
        <v>1800000</v>
      </c>
      <c r="F32" s="82">
        <f>E32*35%</f>
        <v>630000</v>
      </c>
      <c r="G32" s="83">
        <f t="shared" si="2"/>
        <v>2430000</v>
      </c>
      <c r="H32" s="84">
        <f>G32*D32</f>
        <v>2430000</v>
      </c>
      <c r="J32" s="42"/>
    </row>
    <row r="33" spans="1:10" s="41" customFormat="1" ht="21" x14ac:dyDescent="0.25">
      <c r="A33" s="90" t="s">
        <v>28</v>
      </c>
      <c r="B33" s="91"/>
      <c r="C33" s="91"/>
      <c r="D33" s="91"/>
      <c r="E33" s="91"/>
      <c r="F33" s="91"/>
      <c r="G33" s="91"/>
      <c r="H33" s="92">
        <f>SUM(H24:H32)</f>
        <v>76072500</v>
      </c>
      <c r="J33" s="42"/>
    </row>
    <row r="34" spans="1:10" s="41" customFormat="1" ht="21" x14ac:dyDescent="0.25">
      <c r="A34" s="59"/>
      <c r="B34" s="60"/>
      <c r="C34" s="60"/>
      <c r="D34" s="60"/>
      <c r="E34" s="60"/>
      <c r="F34" s="60"/>
      <c r="G34" s="60"/>
      <c r="H34" s="61"/>
      <c r="J34" s="42"/>
    </row>
    <row r="35" spans="1:10" ht="21" x14ac:dyDescent="0.25">
      <c r="A35" s="65" t="s">
        <v>34</v>
      </c>
      <c r="B35" s="66"/>
      <c r="C35" s="66"/>
      <c r="D35" s="66"/>
      <c r="E35" s="66"/>
      <c r="F35" s="66"/>
      <c r="G35" s="66"/>
      <c r="H35" s="20">
        <f>H23+H33</f>
        <v>101520000</v>
      </c>
    </row>
    <row r="36" spans="1:10" ht="21" x14ac:dyDescent="0.25">
      <c r="A36" s="65" t="s">
        <v>22</v>
      </c>
      <c r="B36" s="66"/>
      <c r="C36" s="66"/>
      <c r="D36" s="66"/>
      <c r="E36" s="66"/>
      <c r="F36" s="66"/>
      <c r="G36" s="66"/>
      <c r="H36" s="93">
        <f>H35*11%</f>
        <v>11167200</v>
      </c>
    </row>
    <row r="37" spans="1:10" ht="21" x14ac:dyDescent="0.25">
      <c r="A37" s="65" t="s">
        <v>57</v>
      </c>
      <c r="B37" s="66"/>
      <c r="C37" s="66"/>
      <c r="D37" s="66"/>
      <c r="E37" s="66"/>
      <c r="F37" s="66"/>
      <c r="G37" s="66"/>
      <c r="H37" s="20">
        <f>H35+H36</f>
        <v>112687200</v>
      </c>
    </row>
    <row r="38" spans="1:10" s="6" customFormat="1" ht="17.45" customHeight="1" x14ac:dyDescent="0.2">
      <c r="A38" s="67" t="s">
        <v>17</v>
      </c>
      <c r="B38" s="68"/>
      <c r="C38" s="68"/>
      <c r="D38" s="68"/>
      <c r="E38" s="68"/>
      <c r="F38" s="68"/>
      <c r="G38" s="68"/>
      <c r="H38" s="69"/>
      <c r="J38" s="8"/>
    </row>
    <row r="39" spans="1:10" ht="21" x14ac:dyDescent="0.25">
      <c r="A39" s="56" t="s">
        <v>27</v>
      </c>
      <c r="B39" s="57"/>
      <c r="C39" s="57"/>
      <c r="D39" s="57"/>
      <c r="E39" s="57"/>
      <c r="F39" s="57"/>
      <c r="G39" s="57"/>
      <c r="H39" s="58"/>
    </row>
    <row r="40" spans="1:10" ht="21" x14ac:dyDescent="0.25">
      <c r="A40" s="56" t="s">
        <v>31</v>
      </c>
      <c r="B40" s="57"/>
      <c r="C40" s="57"/>
      <c r="D40" s="57"/>
      <c r="E40" s="57"/>
      <c r="F40" s="57"/>
      <c r="G40" s="57"/>
      <c r="H40" s="58"/>
    </row>
    <row r="41" spans="1:10" ht="21" x14ac:dyDescent="0.25">
      <c r="A41" s="53" t="s">
        <v>32</v>
      </c>
      <c r="B41" s="54"/>
      <c r="C41" s="54"/>
      <c r="D41" s="54"/>
      <c r="E41" s="54"/>
      <c r="F41" s="54"/>
      <c r="G41" s="54"/>
      <c r="H41" s="55"/>
    </row>
    <row r="42" spans="1:10" ht="21" x14ac:dyDescent="0.25">
      <c r="A42" s="53" t="s">
        <v>23</v>
      </c>
      <c r="B42" s="54"/>
      <c r="C42" s="54"/>
      <c r="D42" s="54"/>
      <c r="E42" s="54"/>
      <c r="F42" s="54"/>
      <c r="G42" s="54"/>
      <c r="H42" s="55"/>
    </row>
    <row r="43" spans="1:10" ht="21" x14ac:dyDescent="0.25">
      <c r="A43" s="56" t="s">
        <v>30</v>
      </c>
      <c r="B43" s="57"/>
      <c r="C43" s="57"/>
      <c r="D43" s="57"/>
      <c r="E43" s="57"/>
      <c r="F43" s="57"/>
      <c r="G43" s="57"/>
      <c r="H43" s="58"/>
    </row>
    <row r="44" spans="1:10" ht="21.75" thickBot="1" x14ac:dyDescent="0.4">
      <c r="A44" s="62" t="s">
        <v>18</v>
      </c>
      <c r="B44" s="63"/>
      <c r="C44" s="63"/>
      <c r="D44" s="63"/>
      <c r="E44" s="63"/>
      <c r="F44" s="63"/>
      <c r="G44" s="63"/>
      <c r="H44" s="64"/>
    </row>
    <row r="45" spans="1:10" ht="21.75" thickTop="1" x14ac:dyDescent="0.35">
      <c r="A45" s="11"/>
      <c r="B45" s="11"/>
      <c r="C45" s="11"/>
      <c r="D45" s="11"/>
      <c r="E45" s="45"/>
      <c r="F45" s="45"/>
      <c r="G45" s="12"/>
      <c r="H45" s="12"/>
    </row>
    <row r="46" spans="1:10" ht="21" x14ac:dyDescent="0.25">
      <c r="A46" s="18" t="s">
        <v>19</v>
      </c>
      <c r="B46" s="18"/>
      <c r="C46" s="18"/>
      <c r="D46" s="18"/>
      <c r="E46" s="52"/>
      <c r="F46" s="52"/>
      <c r="G46" s="19"/>
      <c r="H46" s="19"/>
    </row>
    <row r="47" spans="1:10" ht="21" x14ac:dyDescent="0.25">
      <c r="A47" s="18" t="s">
        <v>20</v>
      </c>
      <c r="B47" s="18"/>
      <c r="C47" s="18"/>
      <c r="D47" s="18"/>
      <c r="E47" s="52"/>
      <c r="F47" s="52"/>
      <c r="G47" s="19"/>
      <c r="H47" s="19"/>
    </row>
  </sheetData>
  <mergeCells count="20">
    <mergeCell ref="B12:D12"/>
    <mergeCell ref="A41:H41"/>
    <mergeCell ref="A17:A18"/>
    <mergeCell ref="B17:B18"/>
    <mergeCell ref="C17:C18"/>
    <mergeCell ref="D17:D18"/>
    <mergeCell ref="A23:G23"/>
    <mergeCell ref="E17:E18"/>
    <mergeCell ref="F17:F18"/>
    <mergeCell ref="A36:G36"/>
    <mergeCell ref="A37:G37"/>
    <mergeCell ref="A33:G33"/>
    <mergeCell ref="A42:H42"/>
    <mergeCell ref="A43:H43"/>
    <mergeCell ref="A34:H34"/>
    <mergeCell ref="A44:H44"/>
    <mergeCell ref="A35:G35"/>
    <mergeCell ref="A38:H38"/>
    <mergeCell ref="A39:H39"/>
    <mergeCell ref="A40:H40"/>
  </mergeCells>
  <phoneticPr fontId="4" type="noConversion"/>
  <pageMargins left="0.38" right="0.33" top="1.5" bottom="0.14000000000000001" header="0.3" footer="0.13"/>
  <pageSetup paperSize="9" scale="57" orientation="portrait" horizontalDpi="0" verticalDpi="0" r:id="rId1"/>
  <rowBreaks count="1" manualBreakCount="1">
    <brk id="59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MEP </vt:lpstr>
      <vt:lpstr>'MEP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cp:lastPrinted>2026-08-08T08:03:40Z</cp:lastPrinted>
  <dcterms:created xsi:type="dcterms:W3CDTF">2025-07-22T06:57:18Z</dcterms:created>
  <dcterms:modified xsi:type="dcterms:W3CDTF">2026-08-08T08:29:22Z</dcterms:modified>
</cp:coreProperties>
</file>