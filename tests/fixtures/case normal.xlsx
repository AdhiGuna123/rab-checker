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NTARI\PROJECT\2026\VILLA STARLING\"/>
    </mc:Choice>
  </mc:AlternateContent>
  <xr:revisionPtr revIDLastSave="0" documentId="13_ncr:1_{3B939DA7-BBA9-4C89-B828-9EBB79A002E4}" xr6:coauthVersionLast="47" xr6:coauthVersionMax="47" xr10:uidLastSave="{00000000-0000-0000-0000-000000000000}"/>
  <bookViews>
    <workbookView xWindow="-120" yWindow="-120" windowWidth="29040" windowHeight="15720" activeTab="1" xr2:uid="{01559DE8-9201-4251-8263-0BCBB747C057}"/>
  </bookViews>
  <sheets>
    <sheet name="AC 1,5PK" sheetId="1" r:id="rId1"/>
    <sheet name="AC 2 PK " sheetId="5" r:id="rId2"/>
  </sheets>
  <definedNames>
    <definedName name="_xlnm.Print_Area" localSheetId="0">'AC 1,5PK'!$A$1:$I$55</definedName>
    <definedName name="_xlnm.Print_Area" localSheetId="1">'AC 2 PK '!$A$1:$I$62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1" l="1"/>
  <c r="I25" i="1"/>
  <c r="I25" i="5"/>
  <c r="I19" i="1" l="1"/>
  <c r="I29" i="5"/>
  <c r="I28" i="5"/>
  <c r="I27" i="5"/>
  <c r="I26" i="5"/>
  <c r="I24" i="5"/>
  <c r="I23" i="5"/>
  <c r="I22" i="5"/>
  <c r="I21" i="5"/>
  <c r="I20" i="5"/>
  <c r="I19" i="5"/>
  <c r="I22" i="1"/>
  <c r="I23" i="1"/>
  <c r="I24" i="1"/>
  <c r="I27" i="1"/>
  <c r="I30" i="5" l="1"/>
  <c r="I31" i="5" s="1"/>
  <c r="I32" i="5" s="1"/>
  <c r="I28" i="1"/>
  <c r="I29" i="1"/>
  <c r="I21" i="1" l="1"/>
  <c r="I26" i="1"/>
  <c r="I20" i="1" l="1"/>
  <c r="I31" i="1" l="1"/>
  <c r="I32" i="1" s="1"/>
</calcChain>
</file>

<file path=xl/sharedStrings.xml><?xml version="1.0" encoding="utf-8"?>
<sst xmlns="http://schemas.openxmlformats.org/spreadsheetml/2006/main" count="133" uniqueCount="64">
  <si>
    <t xml:space="preserve">Customer </t>
  </si>
  <si>
    <t>QUOTATION</t>
  </si>
  <si>
    <t>Company</t>
  </si>
  <si>
    <t>Quotation No.</t>
  </si>
  <si>
    <t>CC</t>
  </si>
  <si>
    <t>Date</t>
  </si>
  <si>
    <t>Quotation Valid Until</t>
  </si>
  <si>
    <t>Phone</t>
  </si>
  <si>
    <t>Project</t>
  </si>
  <si>
    <t>Dengan hormat,</t>
  </si>
  <si>
    <t>NO.</t>
  </si>
  <si>
    <t>DESCRIPTION</t>
  </si>
  <si>
    <t>UNIT</t>
  </si>
  <si>
    <t>QTY</t>
  </si>
  <si>
    <t>UNIT PRICE</t>
  </si>
  <si>
    <t>TOTAL</t>
  </si>
  <si>
    <t>Rp.</t>
  </si>
  <si>
    <t>NOTE :</t>
  </si>
  <si>
    <t xml:space="preserve">    </t>
  </si>
  <si>
    <t>Demikian penawaran ini kami sampaikan, besar harapan kami mendapat respon dan hasil positif dari Bapak/Ibu.</t>
  </si>
  <si>
    <t>Atas perhatian dan kerjasamanya, kami ucapkan terima kasih.</t>
  </si>
  <si>
    <t>Bersama ini kami sampaikan penawaran harga kepada Bapak/Ibu dengan rincian sebagai berikut :</t>
  </si>
  <si>
    <t>PPN 11%</t>
  </si>
  <si>
    <t xml:space="preserve">     BRI Cabang Denpasar</t>
  </si>
  <si>
    <t>Address</t>
  </si>
  <si>
    <t xml:space="preserve">unit </t>
  </si>
  <si>
    <t>meter</t>
  </si>
  <si>
    <t xml:space="preserve">     Nomor Rekening : 0556.01.001641.30.9 A/N PT MAHA PUTRA ENGINEERING</t>
  </si>
  <si>
    <t xml:space="preserve">HARGA VENDOR  </t>
  </si>
  <si>
    <t xml:space="preserve">BIAYA PENGIRIMAN </t>
  </si>
  <si>
    <t>: 28 Agustus 2026</t>
  </si>
  <si>
    <t>: 28 September 2026</t>
  </si>
  <si>
    <t>btg</t>
  </si>
  <si>
    <t>1. Jika setuju dengan penawaran diatas maka di lakukan Deposit sebesar 50%</t>
  </si>
  <si>
    <t xml:space="preserve">GRAND TOTAL </t>
  </si>
  <si>
    <t>: 26.MPE.SWA.00139</t>
  </si>
  <si>
    <t>: Maintenance Villa IGM/Villa Starling</t>
  </si>
  <si>
    <t>: -</t>
  </si>
  <si>
    <t>: Jl. Pemelisan Agung</t>
  </si>
  <si>
    <t>: 085339140289</t>
  </si>
  <si>
    <t>: Pengadaan dan Pemasangan Unit AC - Opsi 1 (Kapasitas 1,5 PK)</t>
  </si>
  <si>
    <t>unit</t>
  </si>
  <si>
    <t>GREE AC 1,5 PK (GWC-12N1A)</t>
  </si>
  <si>
    <t xml:space="preserve">Pipa AC 1,5 PK </t>
  </si>
  <si>
    <t xml:space="preserve">Duct Tape Lem </t>
  </si>
  <si>
    <t>Superlon 2 3/8 x 3/8</t>
  </si>
  <si>
    <t>Bracket AC Outdoor</t>
  </si>
  <si>
    <t>Kabel NYM 3x2,5mm</t>
  </si>
  <si>
    <t xml:space="preserve">Duct Tape Non Lem </t>
  </si>
  <si>
    <t xml:space="preserve">Jasa penarikan pipa </t>
  </si>
  <si>
    <t xml:space="preserve">Jasa bongkar pasang unit AC </t>
  </si>
  <si>
    <t xml:space="preserve">Support alat bantu tangga tinggi </t>
  </si>
  <si>
    <t>2. Pekerjaan ini memerlukan pembongkaran plafon dan pembobokan tembok. Harga penawaran tidak termasuk pekerjaan finishing dan perbaikan kembali plafon maupun tembok setelah pekerjaan selesai.</t>
  </si>
  <si>
    <t>3. Apabila ada penambahan material/jasa diluar penawaran, maka akan dikenakan biaya</t>
  </si>
  <si>
    <t>4. Pembayaran dapat ditransfer ke rekening kami :</t>
  </si>
  <si>
    <t>bh</t>
  </si>
  <si>
    <t>set</t>
  </si>
  <si>
    <t xml:space="preserve">lot </t>
  </si>
  <si>
    <t>: 0815/PH-MPE/VIII/2026</t>
  </si>
  <si>
    <t>: Pengadaan dan Pemasangan Unit AC - Opsi 2 (Kapasitas 2 PK)</t>
  </si>
  <si>
    <t>GREE AC  2 PK GWC-18N1A</t>
  </si>
  <si>
    <t xml:space="preserve">UP 450K UNIT </t>
  </si>
  <si>
    <t xml:space="preserve">Pipa AC 2 PK </t>
  </si>
  <si>
    <t xml:space="preserve">Klem Pipa Besi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</si>
</sst>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[$Rp-421]* #,##0_-;\-[$Rp-421]* #,##0_-;_-[$Rp-421]* &quot;-&quot;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0" fillId="0" borderId="0" xfId="0" applyNumberFormat="1"/>
    <xf numFmtId="0" fontId="5" fillId="0" borderId="0" xfId="0" applyFont="1"/>
    <xf numFmtId="164" fontId="0" fillId="0" borderId="0" xfId="2" applyFont="1"/>
    <xf numFmtId="164" fontId="5" fillId="0" borderId="0" xfId="2" applyFont="1"/>
    <xf numFmtId="0" fontId="6" fillId="0" borderId="0" xfId="1" applyFont="1"/>
    <xf numFmtId="0" fontId="7" fillId="0" borderId="0" xfId="1" applyFont="1"/>
    <xf numFmtId="0" fontId="6" fillId="0" borderId="0" xfId="0" applyFont="1"/>
    <xf numFmtId="165" fontId="6" fillId="0" borderId="0" xfId="0" applyNumberFormat="1" applyFont="1"/>
    <xf numFmtId="43" fontId="6" fillId="0" borderId="0" xfId="0" applyNumberFormat="1" applyFont="1"/>
    <xf numFmtId="165" fontId="3" fillId="2" borderId="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41" fontId="6" fillId="0" borderId="12" xfId="0" applyNumberFormat="1" applyFont="1" applyBorder="1" applyAlignment="1">
      <alignment horizontal="center" vertical="center"/>
    </xf>
    <xf numFmtId="41" fontId="6" fillId="0" borderId="13" xfId="0" applyNumberFormat="1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41" fontId="6" fillId="0" borderId="16" xfId="0" applyNumberFormat="1" applyFont="1" applyBorder="1" applyAlignment="1">
      <alignment horizontal="center" vertical="center"/>
    </xf>
    <xf numFmtId="43" fontId="6" fillId="0" borderId="0" xfId="0" applyNumberFormat="1" applyFont="1" applyFill="1"/>
    <xf numFmtId="0" fontId="7" fillId="0" borderId="0" xfId="1" applyFont="1" applyAlignment="1">
      <alignment horizontal="left" wrapText="1"/>
    </xf>
    <xf numFmtId="0" fontId="6" fillId="0" borderId="0" xfId="1" applyFont="1" applyAlignment="1">
      <alignment vertical="top"/>
    </xf>
    <xf numFmtId="41" fontId="6" fillId="0" borderId="15" xfId="0" applyNumberFormat="1" applyFont="1" applyFill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 wrapText="1"/>
    </xf>
    <xf numFmtId="166" fontId="6" fillId="0" borderId="15" xfId="3" quotePrefix="1" applyNumberFormat="1" applyFont="1" applyFill="1" applyBorder="1" applyAlignment="1">
      <alignment horizontal="right" vertical="center" wrapText="1"/>
    </xf>
    <xf numFmtId="41" fontId="6" fillId="0" borderId="16" xfId="0" applyNumberFormat="1" applyFont="1" applyFill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left" vertical="center" wrapText="1"/>
    </xf>
    <xf numFmtId="0" fontId="0" fillId="3" borderId="0" xfId="0" applyFill="1"/>
    <xf numFmtId="164" fontId="0" fillId="3" borderId="0" xfId="2" applyFont="1" applyFill="1"/>
    <xf numFmtId="166" fontId="0" fillId="0" borderId="0" xfId="3" applyNumberFormat="1" applyFont="1"/>
    <xf numFmtId="166" fontId="0" fillId="0" borderId="0" xfId="3" applyNumberFormat="1" applyFont="1" applyAlignment="1">
      <alignment vertical="center"/>
    </xf>
    <xf numFmtId="166" fontId="6" fillId="0" borderId="0" xfId="3" applyNumberFormat="1" applyFont="1"/>
    <xf numFmtId="166" fontId="7" fillId="0" borderId="0" xfId="3" applyNumberFormat="1" applyFont="1" applyAlignment="1">
      <alignment horizontal="left" wrapText="1"/>
    </xf>
    <xf numFmtId="166" fontId="6" fillId="0" borderId="12" xfId="3" applyNumberFormat="1" applyFont="1" applyBorder="1" applyAlignment="1">
      <alignment horizontal="center" vertical="center"/>
    </xf>
    <xf numFmtId="166" fontId="6" fillId="0" borderId="15" xfId="3" applyNumberFormat="1" applyFont="1" applyBorder="1" applyAlignment="1">
      <alignment horizontal="center" vertical="center"/>
    </xf>
    <xf numFmtId="166" fontId="6" fillId="0" borderId="15" xfId="3" quotePrefix="1" applyNumberFormat="1" applyFont="1" applyFill="1" applyBorder="1" applyAlignment="1">
      <alignment horizontal="center" vertical="center" wrapText="1"/>
    </xf>
    <xf numFmtId="166" fontId="6" fillId="0" borderId="0" xfId="3" applyNumberFormat="1" applyFont="1" applyAlignment="1">
      <alignment horizontal="left" vertical="center"/>
    </xf>
    <xf numFmtId="166" fontId="6" fillId="0" borderId="15" xfId="0" quotePrefix="1" applyNumberFormat="1" applyFont="1" applyFill="1" applyBorder="1" applyAlignment="1">
      <alignment horizontal="center" vertical="center" wrapText="1"/>
    </xf>
    <xf numFmtId="41" fontId="6" fillId="0" borderId="7" xfId="0" applyNumberFormat="1" applyFont="1" applyFill="1" applyBorder="1" applyAlignment="1">
      <alignment horizontal="center" vertical="center"/>
    </xf>
    <xf numFmtId="41" fontId="7" fillId="0" borderId="7" xfId="0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left" wrapText="1"/>
    </xf>
    <xf numFmtId="0" fontId="7" fillId="0" borderId="0" xfId="1" applyFont="1" applyAlignment="1">
      <alignment horizontal="left" wrapText="1"/>
    </xf>
    <xf numFmtId="0" fontId="6" fillId="0" borderId="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6" fillId="0" borderId="17" xfId="0" quotePrefix="1" applyFont="1" applyFill="1" applyBorder="1" applyAlignment="1">
      <alignment horizontal="right" vertical="center" wrapText="1"/>
    </xf>
    <xf numFmtId="0" fontId="6" fillId="0" borderId="18" xfId="0" quotePrefix="1" applyFont="1" applyFill="1" applyBorder="1" applyAlignment="1">
      <alignment horizontal="right" vertical="center" wrapText="1"/>
    </xf>
    <xf numFmtId="166" fontId="3" fillId="2" borderId="25" xfId="3" applyNumberFormat="1" applyFont="1" applyFill="1" applyBorder="1" applyAlignment="1">
      <alignment horizontal="center" vertical="center" wrapText="1"/>
    </xf>
    <xf numFmtId="166" fontId="3" fillId="2" borderId="26" xfId="3" applyNumberFormat="1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0" borderId="17" xfId="0" quotePrefix="1" applyFont="1" applyFill="1" applyBorder="1" applyAlignment="1">
      <alignment horizontal="right" vertical="center" wrapText="1"/>
    </xf>
    <xf numFmtId="0" fontId="7" fillId="0" borderId="18" xfId="0" quotePrefix="1" applyFont="1" applyFill="1" applyBorder="1" applyAlignment="1">
      <alignment horizontal="righ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7" fillId="0" borderId="15" xfId="0" quotePrefix="1" applyFont="1" applyFill="1" applyBorder="1" applyAlignment="1">
      <alignment horizontal="center" vertical="center" wrapText="1"/>
    </xf>
    <xf numFmtId="166" fontId="7" fillId="0" borderId="15" xfId="3" quotePrefix="1" applyNumberFormat="1" applyFont="1" applyFill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24" xfId="0" quotePrefix="1" applyFont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 2" xfId="1" xr:uid="{A7C61074-875A-437D-AD77-FFA0CFA61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43</xdr:row>
      <xdr:rowOff>36195</xdr:rowOff>
    </xdr:from>
    <xdr:to>
      <xdr:col>8</xdr:col>
      <xdr:colOff>997585</xdr:colOff>
      <xdr:row>55</xdr:row>
      <xdr:rowOff>102577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35C76A-68F8-4F15-9EAE-6B502C618093}"/>
            </a:ext>
          </a:extLst>
        </xdr:cNvPr>
        <xdr:cNvSpPr txBox="1"/>
      </xdr:nvSpPr>
      <xdr:spPr>
        <a:xfrm>
          <a:off x="5017868" y="10704195"/>
          <a:ext cx="3460505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44</xdr:row>
      <xdr:rowOff>19050</xdr:rowOff>
    </xdr:from>
    <xdr:to>
      <xdr:col>1</xdr:col>
      <xdr:colOff>3311769</xdr:colOff>
      <xdr:row>54</xdr:row>
      <xdr:rowOff>168519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AFA960-C74D-425E-8968-7890E6FAA785}"/>
            </a:ext>
          </a:extLst>
        </xdr:cNvPr>
        <xdr:cNvSpPr txBox="1"/>
      </xdr:nvSpPr>
      <xdr:spPr>
        <a:xfrm>
          <a:off x="409575" y="10877550"/>
          <a:ext cx="3576271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43</xdr:row>
      <xdr:rowOff>36195</xdr:rowOff>
    </xdr:from>
    <xdr:to>
      <xdr:col>8</xdr:col>
      <xdr:colOff>997585</xdr:colOff>
      <xdr:row>55</xdr:row>
      <xdr:rowOff>102577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B4BD6A-9D04-4A67-817D-E229A6834567}"/>
            </a:ext>
          </a:extLst>
        </xdr:cNvPr>
        <xdr:cNvSpPr txBox="1"/>
      </xdr:nvSpPr>
      <xdr:spPr>
        <a:xfrm>
          <a:off x="5779135" y="9913620"/>
          <a:ext cx="3457575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44</xdr:row>
      <xdr:rowOff>19050</xdr:rowOff>
    </xdr:from>
    <xdr:to>
      <xdr:col>1</xdr:col>
      <xdr:colOff>3311769</xdr:colOff>
      <xdr:row>54</xdr:row>
      <xdr:rowOff>168519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AD8BC0-1E88-45D7-8535-0CA3C864A56B}"/>
            </a:ext>
          </a:extLst>
        </xdr:cNvPr>
        <xdr:cNvSpPr txBox="1"/>
      </xdr:nvSpPr>
      <xdr:spPr>
        <a:xfrm>
          <a:off x="409575" y="10086975"/>
          <a:ext cx="3749919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B22B-ACEF-4EE6-9010-0E96248A525B}">
  <dimension ref="A1:K43"/>
  <sheetViews>
    <sheetView topLeftCell="A22" zoomScaleNormal="100" zoomScaleSheetLayoutView="75" workbookViewId="0">
      <selection activeCell="M17" sqref="M17"/>
    </sheetView>
  </sheetViews>
  <sheetFormatPr defaultRowHeight="15" x14ac:dyDescent="0.25"/>
  <cols>
    <col min="1" max="1" width="12.7109375" customWidth="1"/>
    <col min="2" max="2" width="59.5703125" customWidth="1"/>
    <col min="3" max="3" width="11" customWidth="1"/>
    <col min="4" max="4" width="12.140625" customWidth="1"/>
    <col min="5" max="6" width="19" style="37" hidden="1" customWidth="1"/>
    <col min="7" max="7" width="22.7109375" hidden="1" customWidth="1"/>
    <col min="8" max="9" width="28.140625" style="5" customWidth="1"/>
    <col min="11" max="11" width="20.7109375" style="7" customWidth="1"/>
    <col min="12" max="12" width="20.7109375" customWidth="1"/>
  </cols>
  <sheetData>
    <row r="1" spans="1:9" hidden="1" x14ac:dyDescent="0.25"/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t="21" x14ac:dyDescent="0.25">
      <c r="A7" s="1" t="s">
        <v>0</v>
      </c>
      <c r="B7" s="2"/>
      <c r="C7" s="3"/>
      <c r="D7" s="3"/>
      <c r="E7" s="38"/>
      <c r="F7" s="38"/>
      <c r="G7" s="3"/>
      <c r="H7" s="4" t="s">
        <v>1</v>
      </c>
    </row>
    <row r="8" spans="1:9" ht="21" x14ac:dyDescent="0.35">
      <c r="A8" s="9" t="s">
        <v>2</v>
      </c>
      <c r="B8" s="10" t="s">
        <v>36</v>
      </c>
      <c r="C8" s="11"/>
      <c r="D8" s="11"/>
      <c r="E8" s="39"/>
      <c r="F8" s="39"/>
      <c r="G8" s="11"/>
      <c r="H8" s="12" t="s">
        <v>3</v>
      </c>
      <c r="I8" s="27" t="s">
        <v>35</v>
      </c>
    </row>
    <row r="9" spans="1:9" ht="21" x14ac:dyDescent="0.35">
      <c r="A9" s="9" t="s">
        <v>4</v>
      </c>
      <c r="B9" s="10" t="s">
        <v>37</v>
      </c>
      <c r="C9" s="11"/>
      <c r="D9" s="11"/>
      <c r="E9" s="39"/>
      <c r="F9" s="39"/>
      <c r="G9" s="11"/>
      <c r="H9" s="12" t="s">
        <v>5</v>
      </c>
      <c r="I9" s="13" t="s">
        <v>30</v>
      </c>
    </row>
    <row r="10" spans="1:9" ht="21" x14ac:dyDescent="0.35">
      <c r="A10" s="9" t="s">
        <v>24</v>
      </c>
      <c r="B10" s="10" t="s">
        <v>38</v>
      </c>
      <c r="C10" s="11"/>
      <c r="D10" s="11"/>
      <c r="E10" s="39"/>
      <c r="F10" s="39"/>
      <c r="G10" s="11"/>
      <c r="H10" s="12" t="s">
        <v>6</v>
      </c>
      <c r="I10" s="13" t="s">
        <v>31</v>
      </c>
    </row>
    <row r="11" spans="1:9" ht="21" x14ac:dyDescent="0.35">
      <c r="A11" s="9" t="s">
        <v>7</v>
      </c>
      <c r="B11" s="10" t="s">
        <v>39</v>
      </c>
      <c r="C11" s="11"/>
      <c r="D11" s="11"/>
      <c r="E11" s="39"/>
      <c r="F11" s="39"/>
      <c r="G11" s="11"/>
      <c r="H11" s="12"/>
      <c r="I11" s="12"/>
    </row>
    <row r="12" spans="1:9" ht="21" x14ac:dyDescent="0.35">
      <c r="A12" s="29" t="s">
        <v>8</v>
      </c>
      <c r="B12" s="49" t="s">
        <v>40</v>
      </c>
      <c r="C12" s="49"/>
      <c r="D12" s="49"/>
      <c r="E12" s="40"/>
      <c r="F12" s="40"/>
      <c r="G12" s="28"/>
      <c r="H12" s="12"/>
      <c r="I12" s="12"/>
    </row>
    <row r="13" spans="1:9" ht="21" x14ac:dyDescent="0.35">
      <c r="A13" s="9"/>
      <c r="B13" s="10"/>
      <c r="C13" s="11"/>
      <c r="D13" s="11"/>
      <c r="E13" s="39"/>
      <c r="F13" s="39"/>
      <c r="G13" s="11"/>
      <c r="H13" s="12"/>
      <c r="I13" s="12"/>
    </row>
    <row r="14" spans="1:9" ht="21" x14ac:dyDescent="0.35">
      <c r="A14" s="11" t="s">
        <v>9</v>
      </c>
      <c r="B14" s="11"/>
      <c r="C14" s="11"/>
      <c r="D14" s="11"/>
      <c r="E14" s="39"/>
      <c r="F14" s="39"/>
      <c r="G14" s="11"/>
      <c r="H14" s="12"/>
      <c r="I14" s="12"/>
    </row>
    <row r="15" spans="1:9" ht="21" x14ac:dyDescent="0.35">
      <c r="A15" s="11" t="s">
        <v>21</v>
      </c>
      <c r="B15" s="11"/>
      <c r="C15" s="11"/>
      <c r="D15" s="11"/>
      <c r="E15" s="39"/>
      <c r="F15" s="39"/>
      <c r="G15" s="11"/>
      <c r="H15" s="12"/>
      <c r="I15" s="12"/>
    </row>
    <row r="16" spans="1:9" ht="21.75" thickBot="1" x14ac:dyDescent="0.4">
      <c r="A16" s="11"/>
      <c r="B16" s="11"/>
      <c r="C16" s="11"/>
      <c r="D16" s="11"/>
      <c r="E16" s="39"/>
      <c r="F16" s="39"/>
      <c r="G16" s="11"/>
      <c r="H16" s="12"/>
      <c r="I16" s="12"/>
    </row>
    <row r="17" spans="1:11" ht="21.75" thickTop="1" x14ac:dyDescent="0.25">
      <c r="A17" s="53" t="s">
        <v>10</v>
      </c>
      <c r="B17" s="55" t="s">
        <v>11</v>
      </c>
      <c r="C17" s="55" t="s">
        <v>12</v>
      </c>
      <c r="D17" s="55" t="s">
        <v>13</v>
      </c>
      <c r="E17" s="59" t="s">
        <v>28</v>
      </c>
      <c r="F17" s="59" t="s">
        <v>29</v>
      </c>
      <c r="G17" s="61" t="s">
        <v>22</v>
      </c>
      <c r="H17" s="14" t="s">
        <v>14</v>
      </c>
      <c r="I17" s="15" t="s">
        <v>15</v>
      </c>
    </row>
    <row r="18" spans="1:11" ht="21" x14ac:dyDescent="0.25">
      <c r="A18" s="54"/>
      <c r="B18" s="56"/>
      <c r="C18" s="56"/>
      <c r="D18" s="56"/>
      <c r="E18" s="60"/>
      <c r="F18" s="60"/>
      <c r="G18" s="62"/>
      <c r="H18" s="16" t="s">
        <v>16</v>
      </c>
      <c r="I18" s="17" t="s">
        <v>16</v>
      </c>
    </row>
    <row r="19" spans="1:11" ht="21" x14ac:dyDescent="0.25">
      <c r="A19" s="76">
        <v>1</v>
      </c>
      <c r="B19" s="77" t="s">
        <v>42</v>
      </c>
      <c r="C19" s="20" t="s">
        <v>41</v>
      </c>
      <c r="D19" s="20">
        <v>1</v>
      </c>
      <c r="E19" s="41"/>
      <c r="F19" s="41"/>
      <c r="G19" s="20"/>
      <c r="H19" s="21">
        <v>5600000</v>
      </c>
      <c r="I19" s="22">
        <f>H19*D19</f>
        <v>5600000</v>
      </c>
    </row>
    <row r="20" spans="1:11" ht="21" x14ac:dyDescent="0.25">
      <c r="A20" s="23">
        <v>2</v>
      </c>
      <c r="B20" s="24" t="s">
        <v>43</v>
      </c>
      <c r="C20" s="25" t="s">
        <v>26</v>
      </c>
      <c r="D20" s="25">
        <v>18</v>
      </c>
      <c r="E20" s="42"/>
      <c r="F20" s="42"/>
      <c r="G20" s="25"/>
      <c r="H20" s="30">
        <v>185000</v>
      </c>
      <c r="I20" s="26">
        <f>H20*D20</f>
        <v>3330000</v>
      </c>
    </row>
    <row r="21" spans="1:11" ht="21" x14ac:dyDescent="0.25">
      <c r="A21" s="23">
        <v>3</v>
      </c>
      <c r="B21" s="24" t="s">
        <v>44</v>
      </c>
      <c r="C21" s="25" t="s">
        <v>55</v>
      </c>
      <c r="D21" s="25">
        <v>7</v>
      </c>
      <c r="E21" s="42"/>
      <c r="F21" s="42"/>
      <c r="G21" s="25"/>
      <c r="H21" s="30">
        <v>20000</v>
      </c>
      <c r="I21" s="26">
        <f>H21*D21</f>
        <v>140000</v>
      </c>
    </row>
    <row r="22" spans="1:11" ht="21" x14ac:dyDescent="0.25">
      <c r="A22" s="23">
        <v>4</v>
      </c>
      <c r="B22" s="34" t="s">
        <v>48</v>
      </c>
      <c r="C22" s="25" t="s">
        <v>55</v>
      </c>
      <c r="D22" s="25">
        <v>1</v>
      </c>
      <c r="E22" s="42"/>
      <c r="F22" s="42"/>
      <c r="G22" s="25"/>
      <c r="H22" s="30">
        <v>15000</v>
      </c>
      <c r="I22" s="26">
        <f t="shared" ref="I22:I23" si="0">H22*D22</f>
        <v>15000</v>
      </c>
    </row>
    <row r="23" spans="1:11" ht="21" x14ac:dyDescent="0.25">
      <c r="A23" s="23">
        <v>5</v>
      </c>
      <c r="B23" s="24" t="s">
        <v>45</v>
      </c>
      <c r="C23" s="25" t="s">
        <v>32</v>
      </c>
      <c r="D23" s="25">
        <v>1</v>
      </c>
      <c r="E23" s="42"/>
      <c r="F23" s="42"/>
      <c r="G23" s="25"/>
      <c r="H23" s="30">
        <v>192000</v>
      </c>
      <c r="I23" s="26">
        <f t="shared" si="0"/>
        <v>192000</v>
      </c>
    </row>
    <row r="24" spans="1:11" s="35" customFormat="1" ht="21" x14ac:dyDescent="0.25">
      <c r="A24" s="23">
        <v>6</v>
      </c>
      <c r="B24" s="34" t="s">
        <v>46</v>
      </c>
      <c r="C24" s="31" t="s">
        <v>56</v>
      </c>
      <c r="D24" s="31">
        <v>1</v>
      </c>
      <c r="E24" s="75"/>
      <c r="F24" s="75"/>
      <c r="G24" s="74"/>
      <c r="H24" s="32">
        <v>145000</v>
      </c>
      <c r="I24" s="33">
        <f>H24*D24</f>
        <v>145000</v>
      </c>
      <c r="K24" s="36"/>
    </row>
    <row r="25" spans="1:11" s="35" customFormat="1" ht="21" x14ac:dyDescent="0.25">
      <c r="A25" s="78">
        <v>7</v>
      </c>
      <c r="B25" s="34" t="s">
        <v>63</v>
      </c>
      <c r="C25" s="31" t="s">
        <v>55</v>
      </c>
      <c r="D25" s="31">
        <v>5</v>
      </c>
      <c r="E25" s="75"/>
      <c r="F25" s="75"/>
      <c r="G25" s="74"/>
      <c r="H25" s="32">
        <v>10000</v>
      </c>
      <c r="I25" s="33">
        <f>H25*D25</f>
        <v>50000</v>
      </c>
      <c r="K25" s="36"/>
    </row>
    <row r="26" spans="1:11" s="35" customFormat="1" ht="21" x14ac:dyDescent="0.25">
      <c r="A26" s="23">
        <v>8</v>
      </c>
      <c r="B26" s="34" t="s">
        <v>47</v>
      </c>
      <c r="C26" s="31" t="s">
        <v>26</v>
      </c>
      <c r="D26" s="31">
        <v>20</v>
      </c>
      <c r="E26" s="43"/>
      <c r="F26" s="43"/>
      <c r="G26" s="45"/>
      <c r="H26" s="32">
        <v>30000</v>
      </c>
      <c r="I26" s="33">
        <f t="shared" ref="I26:I29" si="1">H26*D26</f>
        <v>600000</v>
      </c>
      <c r="K26" s="36"/>
    </row>
    <row r="27" spans="1:11" s="35" customFormat="1" ht="21" x14ac:dyDescent="0.25">
      <c r="A27" s="23">
        <v>9</v>
      </c>
      <c r="B27" s="34" t="s">
        <v>51</v>
      </c>
      <c r="C27" s="31" t="s">
        <v>25</v>
      </c>
      <c r="D27" s="31">
        <v>1</v>
      </c>
      <c r="E27" s="43"/>
      <c r="F27" s="43"/>
      <c r="G27" s="45"/>
      <c r="H27" s="32">
        <v>300000</v>
      </c>
      <c r="I27" s="33">
        <f>H27*D27</f>
        <v>300000</v>
      </c>
      <c r="K27" s="36"/>
    </row>
    <row r="28" spans="1:11" s="35" customFormat="1" ht="21" x14ac:dyDescent="0.25">
      <c r="A28" s="23">
        <v>10</v>
      </c>
      <c r="B28" s="34" t="s">
        <v>49</v>
      </c>
      <c r="C28" s="31" t="s">
        <v>26</v>
      </c>
      <c r="D28" s="31">
        <v>18</v>
      </c>
      <c r="E28" s="43"/>
      <c r="F28" s="43"/>
      <c r="G28" s="45"/>
      <c r="H28" s="32">
        <v>50000</v>
      </c>
      <c r="I28" s="33">
        <f t="shared" si="1"/>
        <v>900000</v>
      </c>
      <c r="K28" s="36"/>
    </row>
    <row r="29" spans="1:11" s="35" customFormat="1" ht="21" x14ac:dyDescent="0.25">
      <c r="A29" s="23">
        <v>11</v>
      </c>
      <c r="B29" s="34" t="s">
        <v>50</v>
      </c>
      <c r="C29" s="31" t="s">
        <v>57</v>
      </c>
      <c r="D29" s="31">
        <v>1</v>
      </c>
      <c r="E29" s="43"/>
      <c r="F29" s="43"/>
      <c r="G29" s="45"/>
      <c r="H29" s="32">
        <v>950000</v>
      </c>
      <c r="I29" s="33">
        <f t="shared" si="1"/>
        <v>950000</v>
      </c>
      <c r="K29" s="36"/>
    </row>
    <row r="30" spans="1:11" s="35" customFormat="1" ht="21" x14ac:dyDescent="0.25">
      <c r="A30" s="57" t="s">
        <v>15</v>
      </c>
      <c r="B30" s="58"/>
      <c r="C30" s="58"/>
      <c r="D30" s="58"/>
      <c r="E30" s="58"/>
      <c r="F30" s="58"/>
      <c r="G30" s="58"/>
      <c r="H30" s="58"/>
      <c r="I30" s="46">
        <f>SUM(I19:I29)</f>
        <v>12222000</v>
      </c>
      <c r="K30" s="36"/>
    </row>
    <row r="31" spans="1:11" s="35" customFormat="1" ht="21" x14ac:dyDescent="0.25">
      <c r="A31" s="57" t="s">
        <v>22</v>
      </c>
      <c r="B31" s="58"/>
      <c r="C31" s="58"/>
      <c r="D31" s="58"/>
      <c r="E31" s="58"/>
      <c r="F31" s="58"/>
      <c r="G31" s="58"/>
      <c r="H31" s="58"/>
      <c r="I31" s="46">
        <f>I30*11%</f>
        <v>1344420</v>
      </c>
      <c r="K31" s="36"/>
    </row>
    <row r="32" spans="1:11" s="35" customFormat="1" ht="21" x14ac:dyDescent="0.25">
      <c r="A32" s="63" t="s">
        <v>34</v>
      </c>
      <c r="B32" s="64"/>
      <c r="C32" s="64"/>
      <c r="D32" s="64"/>
      <c r="E32" s="64"/>
      <c r="F32" s="64"/>
      <c r="G32" s="64"/>
      <c r="H32" s="64"/>
      <c r="I32" s="47">
        <f>I30+I31</f>
        <v>13566420</v>
      </c>
      <c r="K32" s="36"/>
    </row>
    <row r="33" spans="1:11" s="6" customFormat="1" ht="17.45" customHeight="1" x14ac:dyDescent="0.2">
      <c r="A33" s="71" t="s">
        <v>17</v>
      </c>
      <c r="B33" s="72"/>
      <c r="C33" s="72"/>
      <c r="D33" s="72"/>
      <c r="E33" s="72"/>
      <c r="F33" s="72"/>
      <c r="G33" s="72"/>
      <c r="H33" s="72"/>
      <c r="I33" s="73"/>
      <c r="K33" s="8"/>
    </row>
    <row r="34" spans="1:11" ht="21" x14ac:dyDescent="0.25">
      <c r="A34" s="65" t="s">
        <v>33</v>
      </c>
      <c r="B34" s="66"/>
      <c r="C34" s="66"/>
      <c r="D34" s="66"/>
      <c r="E34" s="66"/>
      <c r="F34" s="66"/>
      <c r="G34" s="66"/>
      <c r="H34" s="66"/>
      <c r="I34" s="67"/>
    </row>
    <row r="35" spans="1:11" ht="43.5" customHeight="1" x14ac:dyDescent="0.25">
      <c r="A35" s="65" t="s">
        <v>52</v>
      </c>
      <c r="B35" s="66"/>
      <c r="C35" s="66"/>
      <c r="D35" s="66"/>
      <c r="E35" s="66"/>
      <c r="F35" s="66"/>
      <c r="G35" s="66"/>
      <c r="H35" s="66"/>
      <c r="I35" s="67"/>
    </row>
    <row r="36" spans="1:11" ht="21" x14ac:dyDescent="0.25">
      <c r="A36" s="65" t="s">
        <v>53</v>
      </c>
      <c r="B36" s="66"/>
      <c r="C36" s="66"/>
      <c r="D36" s="66"/>
      <c r="E36" s="66"/>
      <c r="F36" s="66"/>
      <c r="G36" s="66"/>
      <c r="H36" s="66"/>
      <c r="I36" s="67"/>
    </row>
    <row r="37" spans="1:11" ht="21" x14ac:dyDescent="0.25">
      <c r="A37" s="50" t="s">
        <v>54</v>
      </c>
      <c r="B37" s="51"/>
      <c r="C37" s="51"/>
      <c r="D37" s="51"/>
      <c r="E37" s="51"/>
      <c r="F37" s="51"/>
      <c r="G37" s="51"/>
      <c r="H37" s="51"/>
      <c r="I37" s="52"/>
    </row>
    <row r="38" spans="1:11" ht="21" x14ac:dyDescent="0.25">
      <c r="A38" s="50" t="s">
        <v>23</v>
      </c>
      <c r="B38" s="51"/>
      <c r="C38" s="51"/>
      <c r="D38" s="51"/>
      <c r="E38" s="51"/>
      <c r="F38" s="51"/>
      <c r="G38" s="51"/>
      <c r="H38" s="51"/>
      <c r="I38" s="52"/>
    </row>
    <row r="39" spans="1:11" ht="21" x14ac:dyDescent="0.25">
      <c r="A39" s="65" t="s">
        <v>27</v>
      </c>
      <c r="B39" s="66"/>
      <c r="C39" s="66"/>
      <c r="D39" s="66"/>
      <c r="E39" s="66"/>
      <c r="F39" s="66"/>
      <c r="G39" s="66"/>
      <c r="H39" s="66"/>
      <c r="I39" s="67"/>
    </row>
    <row r="40" spans="1:11" ht="21.75" thickBot="1" x14ac:dyDescent="0.4">
      <c r="A40" s="68" t="s">
        <v>18</v>
      </c>
      <c r="B40" s="69"/>
      <c r="C40" s="69"/>
      <c r="D40" s="69"/>
      <c r="E40" s="69"/>
      <c r="F40" s="69"/>
      <c r="G40" s="69"/>
      <c r="H40" s="69"/>
      <c r="I40" s="70"/>
    </row>
    <row r="41" spans="1:11" ht="21.75" thickTop="1" x14ac:dyDescent="0.35">
      <c r="A41" s="11"/>
      <c r="B41" s="11"/>
      <c r="C41" s="11"/>
      <c r="D41" s="11"/>
      <c r="E41" s="39"/>
      <c r="F41" s="39"/>
      <c r="G41" s="11"/>
      <c r="H41" s="12"/>
      <c r="I41" s="12"/>
    </row>
    <row r="42" spans="1:11" ht="21" x14ac:dyDescent="0.25">
      <c r="A42" s="18" t="s">
        <v>19</v>
      </c>
      <c r="B42" s="18"/>
      <c r="C42" s="18"/>
      <c r="D42" s="18"/>
      <c r="E42" s="44"/>
      <c r="F42" s="44"/>
      <c r="G42" s="18"/>
      <c r="H42" s="19"/>
      <c r="I42" s="19"/>
    </row>
    <row r="43" spans="1:11" ht="21" x14ac:dyDescent="0.25">
      <c r="A43" s="18" t="s">
        <v>20</v>
      </c>
      <c r="B43" s="18"/>
      <c r="C43" s="18"/>
      <c r="D43" s="18"/>
      <c r="E43" s="44"/>
      <c r="F43" s="44"/>
      <c r="G43" s="18"/>
      <c r="H43" s="19"/>
      <c r="I43" s="19"/>
    </row>
  </sheetData>
  <mergeCells count="19">
    <mergeCell ref="A38:I38"/>
    <mergeCell ref="A39:I39"/>
    <mergeCell ref="A40:I40"/>
    <mergeCell ref="A33:I33"/>
    <mergeCell ref="A34:I34"/>
    <mergeCell ref="A36:I36"/>
    <mergeCell ref="A35:I35"/>
    <mergeCell ref="B12:D12"/>
    <mergeCell ref="A37:I37"/>
    <mergeCell ref="A17:A18"/>
    <mergeCell ref="B17:B18"/>
    <mergeCell ref="C17:C18"/>
    <mergeCell ref="D17:D18"/>
    <mergeCell ref="A30:H30"/>
    <mergeCell ref="E17:E18"/>
    <mergeCell ref="G17:G18"/>
    <mergeCell ref="F17:F18"/>
    <mergeCell ref="A31:H31"/>
    <mergeCell ref="A32:H32"/>
  </mergeCells>
  <phoneticPr fontId="4" type="noConversion"/>
  <pageMargins left="0.38" right="0.14000000000000001" top="1.25" bottom="0.14000000000000001" header="0.3" footer="0.13"/>
  <pageSetup paperSize="9" scale="63" orientation="portrait" r:id="rId1"/>
  <rowBreaks count="1" manualBreakCount="1">
    <brk id="55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9FBB-7952-4690-9EDF-D38818F1428E}">
  <dimension ref="A1:K43"/>
  <sheetViews>
    <sheetView tabSelected="1" topLeftCell="A40" zoomScaleNormal="100" zoomScaleSheetLayoutView="71" workbookViewId="0">
      <selection activeCell="B61" sqref="B61"/>
    </sheetView>
  </sheetViews>
  <sheetFormatPr defaultRowHeight="15" x14ac:dyDescent="0.25"/>
  <cols>
    <col min="1" max="1" width="12.7109375" customWidth="1"/>
    <col min="2" max="2" width="55.140625" customWidth="1"/>
    <col min="3" max="3" width="11" customWidth="1"/>
    <col min="4" max="4" width="12.140625" customWidth="1"/>
    <col min="5" max="6" width="19" style="37" hidden="1" customWidth="1"/>
    <col min="7" max="7" width="22.7109375" hidden="1" customWidth="1"/>
    <col min="8" max="8" width="30.7109375" style="5" customWidth="1"/>
    <col min="9" max="9" width="31.7109375" style="5" customWidth="1"/>
    <col min="11" max="11" width="20.7109375" style="7" customWidth="1"/>
    <col min="12" max="12" width="20.7109375" customWidth="1"/>
  </cols>
  <sheetData>
    <row r="1" spans="1:9" hidden="1" x14ac:dyDescent="0.25"/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t="21" x14ac:dyDescent="0.25">
      <c r="A7" s="1" t="s">
        <v>0</v>
      </c>
      <c r="B7" s="2"/>
      <c r="C7" s="3"/>
      <c r="D7" s="3"/>
      <c r="E7" s="38"/>
      <c r="F7" s="38"/>
      <c r="G7" s="3"/>
      <c r="H7" s="4" t="s">
        <v>1</v>
      </c>
    </row>
    <row r="8" spans="1:9" ht="21" x14ac:dyDescent="0.35">
      <c r="A8" s="9" t="s">
        <v>2</v>
      </c>
      <c r="B8" s="10" t="s">
        <v>36</v>
      </c>
      <c r="C8" s="11"/>
      <c r="D8" s="11"/>
      <c r="E8" s="39"/>
      <c r="F8" s="39"/>
      <c r="G8" s="11"/>
      <c r="H8" s="12" t="s">
        <v>3</v>
      </c>
      <c r="I8" s="27" t="s">
        <v>58</v>
      </c>
    </row>
    <row r="9" spans="1:9" ht="21" x14ac:dyDescent="0.35">
      <c r="A9" s="9" t="s">
        <v>4</v>
      </c>
      <c r="B9" s="10" t="s">
        <v>37</v>
      </c>
      <c r="C9" s="11"/>
      <c r="D9" s="11"/>
      <c r="E9" s="39"/>
      <c r="F9" s="39"/>
      <c r="G9" s="11"/>
      <c r="H9" s="12" t="s">
        <v>5</v>
      </c>
      <c r="I9" s="13" t="s">
        <v>30</v>
      </c>
    </row>
    <row r="10" spans="1:9" ht="21" x14ac:dyDescent="0.35">
      <c r="A10" s="9" t="s">
        <v>24</v>
      </c>
      <c r="B10" s="10" t="s">
        <v>38</v>
      </c>
      <c r="C10" s="11"/>
      <c r="D10" s="11"/>
      <c r="E10" s="39"/>
      <c r="F10" s="39"/>
      <c r="G10" s="11"/>
      <c r="H10" s="12" t="s">
        <v>6</v>
      </c>
      <c r="I10" s="13" t="s">
        <v>31</v>
      </c>
    </row>
    <row r="11" spans="1:9" ht="21" x14ac:dyDescent="0.35">
      <c r="A11" s="9" t="s">
        <v>7</v>
      </c>
      <c r="B11" s="10" t="s">
        <v>39</v>
      </c>
      <c r="C11" s="11"/>
      <c r="D11" s="11"/>
      <c r="E11" s="39"/>
      <c r="F11" s="39"/>
      <c r="G11" s="11"/>
      <c r="H11" s="12"/>
      <c r="I11" s="12"/>
    </row>
    <row r="12" spans="1:9" ht="21" x14ac:dyDescent="0.35">
      <c r="A12" s="29" t="s">
        <v>8</v>
      </c>
      <c r="B12" s="49" t="s">
        <v>59</v>
      </c>
      <c r="C12" s="49"/>
      <c r="D12" s="49"/>
      <c r="E12" s="40"/>
      <c r="F12" s="40"/>
      <c r="G12" s="48"/>
      <c r="H12" s="12"/>
      <c r="I12" s="12"/>
    </row>
    <row r="13" spans="1:9" ht="21" x14ac:dyDescent="0.35">
      <c r="A13" s="9"/>
      <c r="B13" s="10"/>
      <c r="C13" s="11"/>
      <c r="D13" s="11"/>
      <c r="E13" s="39"/>
      <c r="F13" s="39"/>
      <c r="G13" s="11"/>
      <c r="H13" s="12"/>
      <c r="I13" s="12"/>
    </row>
    <row r="14" spans="1:9" ht="21" x14ac:dyDescent="0.35">
      <c r="A14" s="11" t="s">
        <v>9</v>
      </c>
      <c r="B14" s="11"/>
      <c r="C14" s="11"/>
      <c r="D14" s="11"/>
      <c r="E14" s="39"/>
      <c r="F14" s="39"/>
      <c r="G14" s="11"/>
      <c r="H14" s="12"/>
      <c r="I14" s="12"/>
    </row>
    <row r="15" spans="1:9" ht="21" x14ac:dyDescent="0.35">
      <c r="A15" s="11" t="s">
        <v>21</v>
      </c>
      <c r="B15" s="11"/>
      <c r="C15" s="11"/>
      <c r="D15" s="11"/>
      <c r="E15" s="39"/>
      <c r="F15" s="39"/>
      <c r="G15" s="11"/>
      <c r="H15" s="12"/>
      <c r="I15" s="12"/>
    </row>
    <row r="16" spans="1:9" ht="21.75" thickBot="1" x14ac:dyDescent="0.4">
      <c r="A16" s="11"/>
      <c r="B16" s="11"/>
      <c r="C16" s="11"/>
      <c r="D16" s="11"/>
      <c r="E16" s="39"/>
      <c r="F16" s="39"/>
      <c r="G16" s="11"/>
      <c r="H16" s="12"/>
      <c r="I16" s="12"/>
    </row>
    <row r="17" spans="1:11" ht="21.75" thickTop="1" x14ac:dyDescent="0.25">
      <c r="A17" s="53" t="s">
        <v>10</v>
      </c>
      <c r="B17" s="55" t="s">
        <v>11</v>
      </c>
      <c r="C17" s="55" t="s">
        <v>12</v>
      </c>
      <c r="D17" s="55" t="s">
        <v>13</v>
      </c>
      <c r="E17" s="59" t="s">
        <v>28</v>
      </c>
      <c r="F17" s="59" t="s">
        <v>29</v>
      </c>
      <c r="G17" s="61" t="s">
        <v>22</v>
      </c>
      <c r="H17" s="14" t="s">
        <v>14</v>
      </c>
      <c r="I17" s="15" t="s">
        <v>15</v>
      </c>
    </row>
    <row r="18" spans="1:11" ht="21" x14ac:dyDescent="0.25">
      <c r="A18" s="54"/>
      <c r="B18" s="56"/>
      <c r="C18" s="56"/>
      <c r="D18" s="56"/>
      <c r="E18" s="60"/>
      <c r="F18" s="60"/>
      <c r="G18" s="62"/>
      <c r="H18" s="16" t="s">
        <v>16</v>
      </c>
      <c r="I18" s="17" t="s">
        <v>16</v>
      </c>
      <c r="K18" s="7" t="s">
        <v>61</v>
      </c>
    </row>
    <row r="19" spans="1:11" ht="21" x14ac:dyDescent="0.25">
      <c r="A19" s="76">
        <v>1</v>
      </c>
      <c r="B19" s="77" t="s">
        <v>60</v>
      </c>
      <c r="C19" s="20" t="s">
        <v>41</v>
      </c>
      <c r="D19" s="20">
        <v>1</v>
      </c>
      <c r="E19" s="41"/>
      <c r="F19" s="41"/>
      <c r="G19" s="20"/>
      <c r="H19" s="21">
        <v>7160000</v>
      </c>
      <c r="I19" s="22">
        <f>H19*D19</f>
        <v>7160000</v>
      </c>
    </row>
    <row r="20" spans="1:11" ht="21" x14ac:dyDescent="0.25">
      <c r="A20" s="23">
        <v>2</v>
      </c>
      <c r="B20" s="24" t="s">
        <v>62</v>
      </c>
      <c r="C20" s="25" t="s">
        <v>26</v>
      </c>
      <c r="D20" s="25">
        <v>18</v>
      </c>
      <c r="E20" s="42"/>
      <c r="F20" s="42"/>
      <c r="G20" s="25"/>
      <c r="H20" s="30">
        <v>185000</v>
      </c>
      <c r="I20" s="26">
        <f>H20*D20</f>
        <v>3330000</v>
      </c>
    </row>
    <row r="21" spans="1:11" ht="21" x14ac:dyDescent="0.25">
      <c r="A21" s="23">
        <v>3</v>
      </c>
      <c r="B21" s="24" t="s">
        <v>44</v>
      </c>
      <c r="C21" s="25" t="s">
        <v>55</v>
      </c>
      <c r="D21" s="25">
        <v>7</v>
      </c>
      <c r="E21" s="42"/>
      <c r="F21" s="42"/>
      <c r="G21" s="25"/>
      <c r="H21" s="30">
        <v>20000</v>
      </c>
      <c r="I21" s="26">
        <f>H21*D21</f>
        <v>140000</v>
      </c>
    </row>
    <row r="22" spans="1:11" ht="21" x14ac:dyDescent="0.25">
      <c r="A22" s="23">
        <v>4</v>
      </c>
      <c r="B22" s="34" t="s">
        <v>48</v>
      </c>
      <c r="C22" s="25" t="s">
        <v>55</v>
      </c>
      <c r="D22" s="25">
        <v>1</v>
      </c>
      <c r="E22" s="42"/>
      <c r="F22" s="42"/>
      <c r="G22" s="25"/>
      <c r="H22" s="30">
        <v>15000</v>
      </c>
      <c r="I22" s="26">
        <f t="shared" ref="I22:I23" si="0">H22*D22</f>
        <v>15000</v>
      </c>
    </row>
    <row r="23" spans="1:11" ht="21" x14ac:dyDescent="0.25">
      <c r="A23" s="23">
        <v>5</v>
      </c>
      <c r="B23" s="24" t="s">
        <v>45</v>
      </c>
      <c r="C23" s="25" t="s">
        <v>32</v>
      </c>
      <c r="D23" s="25">
        <v>1</v>
      </c>
      <c r="E23" s="42"/>
      <c r="F23" s="42"/>
      <c r="G23" s="25"/>
      <c r="H23" s="30">
        <v>192000</v>
      </c>
      <c r="I23" s="26">
        <f t="shared" si="0"/>
        <v>192000</v>
      </c>
    </row>
    <row r="24" spans="1:11" s="35" customFormat="1" ht="21" x14ac:dyDescent="0.25">
      <c r="A24" s="23">
        <v>6</v>
      </c>
      <c r="B24" s="34" t="s">
        <v>46</v>
      </c>
      <c r="C24" s="31" t="s">
        <v>56</v>
      </c>
      <c r="D24" s="31">
        <v>1</v>
      </c>
      <c r="E24" s="75"/>
      <c r="F24" s="75"/>
      <c r="G24" s="74"/>
      <c r="H24" s="32">
        <v>145000</v>
      </c>
      <c r="I24" s="33">
        <f>H24*D24</f>
        <v>145000</v>
      </c>
      <c r="K24" s="36"/>
    </row>
    <row r="25" spans="1:11" s="35" customFormat="1" ht="21" x14ac:dyDescent="0.25">
      <c r="A25" s="78">
        <v>7</v>
      </c>
      <c r="B25" s="34" t="s">
        <v>63</v>
      </c>
      <c r="C25" s="31" t="s">
        <v>55</v>
      </c>
      <c r="D25" s="31">
        <v>5</v>
      </c>
      <c r="E25" s="75"/>
      <c r="F25" s="75"/>
      <c r="G25" s="74"/>
      <c r="H25" s="32">
        <v>10000</v>
      </c>
      <c r="I25" s="33">
        <f>H25*D25</f>
        <v>50000</v>
      </c>
      <c r="K25" s="36"/>
    </row>
    <row r="26" spans="1:11" s="35" customFormat="1" ht="21" x14ac:dyDescent="0.25">
      <c r="A26" s="23">
        <v>8</v>
      </c>
      <c r="B26" s="34" t="s">
        <v>47</v>
      </c>
      <c r="C26" s="31" t="s">
        <v>26</v>
      </c>
      <c r="D26" s="31">
        <v>20</v>
      </c>
      <c r="E26" s="43"/>
      <c r="F26" s="43"/>
      <c r="G26" s="45"/>
      <c r="H26" s="32">
        <v>30000</v>
      </c>
      <c r="I26" s="33">
        <f t="shared" ref="I26:I29" si="1">H26*D26</f>
        <v>600000</v>
      </c>
      <c r="K26" s="36"/>
    </row>
    <row r="27" spans="1:11" s="35" customFormat="1" ht="21" x14ac:dyDescent="0.25">
      <c r="A27" s="23">
        <v>9</v>
      </c>
      <c r="B27" s="34" t="s">
        <v>51</v>
      </c>
      <c r="C27" s="31" t="s">
        <v>25</v>
      </c>
      <c r="D27" s="31">
        <v>1</v>
      </c>
      <c r="E27" s="43"/>
      <c r="F27" s="43"/>
      <c r="G27" s="45"/>
      <c r="H27" s="32">
        <v>300000</v>
      </c>
      <c r="I27" s="33">
        <f>H27*D27</f>
        <v>300000</v>
      </c>
      <c r="K27" s="36"/>
    </row>
    <row r="28" spans="1:11" s="35" customFormat="1" ht="21" x14ac:dyDescent="0.25">
      <c r="A28" s="23">
        <v>10</v>
      </c>
      <c r="B28" s="34" t="s">
        <v>49</v>
      </c>
      <c r="C28" s="31" t="s">
        <v>26</v>
      </c>
      <c r="D28" s="31">
        <v>18</v>
      </c>
      <c r="E28" s="43"/>
      <c r="F28" s="43"/>
      <c r="G28" s="45"/>
      <c r="H28" s="32">
        <v>50000</v>
      </c>
      <c r="I28" s="33">
        <f t="shared" si="1"/>
        <v>900000</v>
      </c>
      <c r="K28" s="36"/>
    </row>
    <row r="29" spans="1:11" s="35" customFormat="1" ht="21" x14ac:dyDescent="0.25">
      <c r="A29" s="23">
        <v>11</v>
      </c>
      <c r="B29" s="34" t="s">
        <v>50</v>
      </c>
      <c r="C29" s="31" t="s">
        <v>57</v>
      </c>
      <c r="D29" s="31">
        <v>1</v>
      </c>
      <c r="E29" s="43"/>
      <c r="F29" s="43"/>
      <c r="G29" s="45"/>
      <c r="H29" s="32">
        <v>950000</v>
      </c>
      <c r="I29" s="33">
        <f t="shared" si="1"/>
        <v>950000</v>
      </c>
      <c r="K29" s="36"/>
    </row>
    <row r="30" spans="1:11" s="35" customFormat="1" ht="21" x14ac:dyDescent="0.25">
      <c r="A30" s="57" t="s">
        <v>15</v>
      </c>
      <c r="B30" s="58"/>
      <c r="C30" s="58"/>
      <c r="D30" s="58"/>
      <c r="E30" s="58"/>
      <c r="F30" s="58"/>
      <c r="G30" s="58"/>
      <c r="H30" s="58"/>
      <c r="I30" s="46">
        <f>SUM(I19:I29)</f>
        <v>13782000</v>
      </c>
      <c r="K30" s="36"/>
    </row>
    <row r="31" spans="1:11" s="35" customFormat="1" ht="21" x14ac:dyDescent="0.25">
      <c r="A31" s="57" t="s">
        <v>22</v>
      </c>
      <c r="B31" s="58"/>
      <c r="C31" s="58"/>
      <c r="D31" s="58"/>
      <c r="E31" s="58"/>
      <c r="F31" s="58"/>
      <c r="G31" s="58"/>
      <c r="H31" s="58"/>
      <c r="I31" s="46">
        <f>I30*11%</f>
        <v>1516020</v>
      </c>
      <c r="K31" s="36"/>
    </row>
    <row r="32" spans="1:11" s="35" customFormat="1" ht="21" x14ac:dyDescent="0.25">
      <c r="A32" s="63" t="s">
        <v>34</v>
      </c>
      <c r="B32" s="64"/>
      <c r="C32" s="64"/>
      <c r="D32" s="64"/>
      <c r="E32" s="64"/>
      <c r="F32" s="64"/>
      <c r="G32" s="64"/>
      <c r="H32" s="64"/>
      <c r="I32" s="47">
        <f>I30+I31</f>
        <v>15298020</v>
      </c>
      <c r="K32" s="36"/>
    </row>
    <row r="33" spans="1:11" s="6" customFormat="1" ht="17.45" customHeight="1" x14ac:dyDescent="0.2">
      <c r="A33" s="71" t="s">
        <v>17</v>
      </c>
      <c r="B33" s="72"/>
      <c r="C33" s="72"/>
      <c r="D33" s="72"/>
      <c r="E33" s="72"/>
      <c r="F33" s="72"/>
      <c r="G33" s="72"/>
      <c r="H33" s="72"/>
      <c r="I33" s="73"/>
      <c r="K33" s="8"/>
    </row>
    <row r="34" spans="1:11" ht="21" x14ac:dyDescent="0.25">
      <c r="A34" s="65" t="s">
        <v>33</v>
      </c>
      <c r="B34" s="66"/>
      <c r="C34" s="66"/>
      <c r="D34" s="66"/>
      <c r="E34" s="66"/>
      <c r="F34" s="66"/>
      <c r="G34" s="66"/>
      <c r="H34" s="66"/>
      <c r="I34" s="67"/>
    </row>
    <row r="35" spans="1:11" ht="43.5" customHeight="1" x14ac:dyDescent="0.25">
      <c r="A35" s="65" t="s">
        <v>52</v>
      </c>
      <c r="B35" s="66"/>
      <c r="C35" s="66"/>
      <c r="D35" s="66"/>
      <c r="E35" s="66"/>
      <c r="F35" s="66"/>
      <c r="G35" s="66"/>
      <c r="H35" s="66"/>
      <c r="I35" s="67"/>
    </row>
    <row r="36" spans="1:11" ht="21" x14ac:dyDescent="0.25">
      <c r="A36" s="65" t="s">
        <v>53</v>
      </c>
      <c r="B36" s="66"/>
      <c r="C36" s="66"/>
      <c r="D36" s="66"/>
      <c r="E36" s="66"/>
      <c r="F36" s="66"/>
      <c r="G36" s="66"/>
      <c r="H36" s="66"/>
      <c r="I36" s="67"/>
    </row>
    <row r="37" spans="1:11" ht="21" x14ac:dyDescent="0.25">
      <c r="A37" s="50" t="s">
        <v>54</v>
      </c>
      <c r="B37" s="51"/>
      <c r="C37" s="51"/>
      <c r="D37" s="51"/>
      <c r="E37" s="51"/>
      <c r="F37" s="51"/>
      <c r="G37" s="51"/>
      <c r="H37" s="51"/>
      <c r="I37" s="52"/>
    </row>
    <row r="38" spans="1:11" ht="21" x14ac:dyDescent="0.25">
      <c r="A38" s="50" t="s">
        <v>23</v>
      </c>
      <c r="B38" s="51"/>
      <c r="C38" s="51"/>
      <c r="D38" s="51"/>
      <c r="E38" s="51"/>
      <c r="F38" s="51"/>
      <c r="G38" s="51"/>
      <c r="H38" s="51"/>
      <c r="I38" s="52"/>
    </row>
    <row r="39" spans="1:11" ht="21" x14ac:dyDescent="0.25">
      <c r="A39" s="65" t="s">
        <v>27</v>
      </c>
      <c r="B39" s="66"/>
      <c r="C39" s="66"/>
      <c r="D39" s="66"/>
      <c r="E39" s="66"/>
      <c r="F39" s="66"/>
      <c r="G39" s="66"/>
      <c r="H39" s="66"/>
      <c r="I39" s="67"/>
    </row>
    <row r="40" spans="1:11" ht="21.75" thickBot="1" x14ac:dyDescent="0.4">
      <c r="A40" s="68" t="s">
        <v>18</v>
      </c>
      <c r="B40" s="69"/>
      <c r="C40" s="69"/>
      <c r="D40" s="69"/>
      <c r="E40" s="69"/>
      <c r="F40" s="69"/>
      <c r="G40" s="69"/>
      <c r="H40" s="69"/>
      <c r="I40" s="70"/>
    </row>
    <row r="41" spans="1:11" ht="21.75" thickTop="1" x14ac:dyDescent="0.35">
      <c r="A41" s="11"/>
      <c r="B41" s="11"/>
      <c r="C41" s="11"/>
      <c r="D41" s="11"/>
      <c r="E41" s="39"/>
      <c r="F41" s="39"/>
      <c r="G41" s="11"/>
      <c r="H41" s="12"/>
      <c r="I41" s="12"/>
    </row>
    <row r="42" spans="1:11" ht="21" x14ac:dyDescent="0.25">
      <c r="A42" s="18" t="s">
        <v>19</v>
      </c>
      <c r="B42" s="18"/>
      <c r="C42" s="18"/>
      <c r="D42" s="18"/>
      <c r="E42" s="44"/>
      <c r="F42" s="44"/>
      <c r="G42" s="18"/>
      <c r="H42" s="19"/>
      <c r="I42" s="19"/>
    </row>
    <row r="43" spans="1:11" ht="21" x14ac:dyDescent="0.25">
      <c r="A43" s="18" t="s">
        <v>20</v>
      </c>
      <c r="B43" s="18"/>
      <c r="C43" s="18"/>
      <c r="D43" s="18"/>
      <c r="E43" s="44"/>
      <c r="F43" s="44"/>
      <c r="G43" s="18"/>
      <c r="H43" s="19"/>
      <c r="I43" s="19"/>
    </row>
  </sheetData>
  <mergeCells count="19">
    <mergeCell ref="B12:D12"/>
    <mergeCell ref="A17:A18"/>
    <mergeCell ref="B17:B18"/>
    <mergeCell ref="C17:C18"/>
    <mergeCell ref="D17:D18"/>
    <mergeCell ref="F17:F18"/>
    <mergeCell ref="G17:G18"/>
    <mergeCell ref="E17:E18"/>
    <mergeCell ref="A30:H30"/>
    <mergeCell ref="A31:H31"/>
    <mergeCell ref="A32:H32"/>
    <mergeCell ref="A33:I33"/>
    <mergeCell ref="A34:I34"/>
    <mergeCell ref="A35:I35"/>
    <mergeCell ref="A36:I36"/>
    <mergeCell ref="A38:I38"/>
    <mergeCell ref="A40:I40"/>
    <mergeCell ref="A37:I37"/>
    <mergeCell ref="A39:I39"/>
  </mergeCells>
  <pageMargins left="0.38" right="0.14000000000000001" top="1.25" bottom="0.14000000000000001" header="0.3" footer="0.13"/>
  <pageSetup paperSize="9" scale="63" orientation="portrait" r:id="rId1"/>
  <rowBreaks count="1" manualBreakCount="1">
    <brk id="62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 1,5PK</vt:lpstr>
      <vt:lpstr>AC 2 PK </vt:lpstr>
      <vt:lpstr>'AC 1,5PK'!Print_Area</vt:lpstr>
      <vt:lpstr>'AC 2 PK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cp:lastPrinted>2026-08-28T08:16:41Z</cp:lastPrinted>
  <dcterms:created xsi:type="dcterms:W3CDTF">2025-07-22T06:57:18Z</dcterms:created>
  <dcterms:modified xsi:type="dcterms:W3CDTF">2026-08-28T13:10:55Z</dcterms:modified>
</cp:coreProperties>
</file>