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INTARI\PROJECT\2026\IBU MADE OKA SUNADI\"/>
    </mc:Choice>
  </mc:AlternateContent>
  <xr:revisionPtr revIDLastSave="0" documentId="13_ncr:1_{B0031FB0-E4AF-4E57-8E1E-2ED92E2A0E00}" xr6:coauthVersionLast="47" xr6:coauthVersionMax="47" xr10:uidLastSave="{00000000-0000-0000-0000-000000000000}"/>
  <bookViews>
    <workbookView xWindow="12975" yWindow="615" windowWidth="15930" windowHeight="14970" xr2:uid="{01559DE8-9201-4251-8263-0BCBB747C057}"/>
  </bookViews>
  <sheets>
    <sheet name="MEP " sheetId="1" r:id="rId1"/>
  </sheets>
  <definedNames>
    <definedName name="_xlnm.Print_Area" localSheetId="0">'MEP '!$A$1:$F$90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1" l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32" i="1"/>
  <c r="F26" i="1"/>
  <c r="F27" i="1"/>
  <c r="F28" i="1"/>
  <c r="F29" i="1"/>
  <c r="F25" i="1"/>
  <c r="F60" i="1" l="1"/>
  <c r="F21" i="1"/>
  <c r="F20" i="1"/>
  <c r="F24" i="1"/>
  <c r="F22" i="1" l="1"/>
  <c r="F30" i="1"/>
  <c r="F62" i="1" l="1"/>
  <c r="F63" i="1" l="1"/>
  <c r="F64" i="1" s="1"/>
</calcChain>
</file>

<file path=xl/sharedStrings.xml><?xml version="1.0" encoding="utf-8"?>
<sst xmlns="http://schemas.openxmlformats.org/spreadsheetml/2006/main" count="122" uniqueCount="87">
  <si>
    <t xml:space="preserve">Customer </t>
  </si>
  <si>
    <t>QUOTATION</t>
  </si>
  <si>
    <t>Company</t>
  </si>
  <si>
    <t>Quotation No.</t>
  </si>
  <si>
    <t>CC</t>
  </si>
  <si>
    <t>Date</t>
  </si>
  <si>
    <t>Quotation Valid Until</t>
  </si>
  <si>
    <t>Phone</t>
  </si>
  <si>
    <t>Project</t>
  </si>
  <si>
    <t>Dengan hormat,</t>
  </si>
  <si>
    <t>NO.</t>
  </si>
  <si>
    <t>DESCRIPTION</t>
  </si>
  <si>
    <t>UNIT</t>
  </si>
  <si>
    <t>QTY</t>
  </si>
  <si>
    <t>UNIT PRICE</t>
  </si>
  <si>
    <t>TOTAL</t>
  </si>
  <si>
    <t>Rp.</t>
  </si>
  <si>
    <t>NOTE :</t>
  </si>
  <si>
    <t xml:space="preserve">    </t>
  </si>
  <si>
    <t>Demikian penawaran ini kami sampaikan, besar harapan kami mendapat respon dan hasil positif dari Bapak/Ibu.</t>
  </si>
  <si>
    <t>Atas perhatian dan kerjasamanya, kami ucapkan terima kasih.</t>
  </si>
  <si>
    <t>Bersama ini kami sampaikan penawaran harga kepada Bapak/Ibu dengan rincian sebagai berikut :</t>
  </si>
  <si>
    <t>PPN 11%</t>
  </si>
  <si>
    <t xml:space="preserve">     BRI Cabang Denpasar</t>
  </si>
  <si>
    <t>Address</t>
  </si>
  <si>
    <t>: -</t>
  </si>
  <si>
    <t>A</t>
  </si>
  <si>
    <t>B</t>
  </si>
  <si>
    <t>lot</t>
  </si>
  <si>
    <t>1. Jika setuju dengan penawaran diatas maka di lakukan Deposit sebesar 70%</t>
  </si>
  <si>
    <t>4. Pembayaran dapat ditransfer ke rekening kami :</t>
  </si>
  <si>
    <t xml:space="preserve">: Ibu Made Oka Sunadi </t>
  </si>
  <si>
    <t>: Gg. Bangau No. 65, Br. Dangin Sema, Tumbak Bayuh</t>
  </si>
  <si>
    <t>: 082110145970</t>
  </si>
  <si>
    <t>: Perbaikan CCTV, Penggantian Kran Shower, Pengadaan dan Instalasi Water Heater</t>
  </si>
  <si>
    <t>CCTV</t>
  </si>
  <si>
    <t>PSU 5A/12V</t>
  </si>
  <si>
    <t>Jasa service</t>
  </si>
  <si>
    <t>bh</t>
  </si>
  <si>
    <t xml:space="preserve">KRAN SHOWER </t>
  </si>
  <si>
    <t>LDD 1/2"</t>
  </si>
  <si>
    <t xml:space="preserve">Stop Kran Bidet Onda Single </t>
  </si>
  <si>
    <t xml:space="preserve">Seal Tape </t>
  </si>
  <si>
    <t>Hand Shower Onda</t>
  </si>
  <si>
    <t xml:space="preserve">Support Material </t>
  </si>
  <si>
    <t>Jasa Penggantian Kran Shower+Bobok</t>
  </si>
  <si>
    <t>C</t>
  </si>
  <si>
    <t>WATER HEATER DAN INSTALASI</t>
  </si>
  <si>
    <t>Water Heater Gas RINNAI 5L</t>
  </si>
  <si>
    <t>Selang Gas Orange</t>
  </si>
  <si>
    <t xml:space="preserve">Pengaman/Pelindung Selang Gas </t>
  </si>
  <si>
    <t>Klem Selang 1"</t>
  </si>
  <si>
    <t>Regulator Merah Win Gas W-900m</t>
  </si>
  <si>
    <t>Kran Mixing Onda</t>
  </si>
  <si>
    <t xml:space="preserve">Selang Flexible 30cm </t>
  </si>
  <si>
    <t>Pipa PVC 3/4"</t>
  </si>
  <si>
    <t>Pipa PVC 1/2"</t>
  </si>
  <si>
    <t>LDD 1/2 PVC</t>
  </si>
  <si>
    <t>L 1/2 PVC</t>
  </si>
  <si>
    <t>V.SOCK 3/4 X 1/2 PVC</t>
  </si>
  <si>
    <t xml:space="preserve">L 3/4 PVC </t>
  </si>
  <si>
    <t>T 3/4 PVC</t>
  </si>
  <si>
    <t>SDD 1/2 PVC</t>
  </si>
  <si>
    <t>LDD 1/2 PPR</t>
  </si>
  <si>
    <t>SDD 1/2 PPR</t>
  </si>
  <si>
    <t>L 1/2 PPR</t>
  </si>
  <si>
    <t>PIPA PPR 1/2</t>
  </si>
  <si>
    <t>SOCK 1/2 PPR</t>
  </si>
  <si>
    <t>Klem U Besi + Paku</t>
  </si>
  <si>
    <t>Jasa Pemasangan Water Heater Gas</t>
  </si>
  <si>
    <t xml:space="preserve">Jasa Pemasangan Instalasi Water Heater Gas </t>
  </si>
  <si>
    <t xml:space="preserve">Jasa Pemasangan Kran Mixing </t>
  </si>
  <si>
    <t xml:space="preserve">unit </t>
  </si>
  <si>
    <t xml:space="preserve">lot </t>
  </si>
  <si>
    <t>meter</t>
  </si>
  <si>
    <t>btg</t>
  </si>
  <si>
    <t>Total C</t>
  </si>
  <si>
    <t>TOTAL (A+B+C)</t>
  </si>
  <si>
    <t>Total B</t>
  </si>
  <si>
    <t>Total A</t>
  </si>
  <si>
    <t>GRAND TOTAL</t>
  </si>
  <si>
    <t xml:space="preserve">     Nomor Rekening : 0556.01.001641.30.9 A/N PT MAHA PUTRA ENGINEERING</t>
  </si>
  <si>
    <t>: 26.MPE.SWA.00107</t>
  </si>
  <si>
    <t>: 05 Agustus 2026</t>
  </si>
  <si>
    <t>: 05 September 2026</t>
  </si>
  <si>
    <t>2. Pekerjaan tidak termasuk finishing/penggantian keramik</t>
  </si>
  <si>
    <t>3. Apabila ada penambahan material/jasa diluar penawaran, maka akan dikenakan biaya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</si>
</sst>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[$Rp-421]* #,##0_-;\-[$Rp-421]* #,##0_-;_-[$Rp-421]* &quot;-&quot;_-;_-@_-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7">
    <xf numFmtId="0" fontId="0" fillId="0" borderId="0" xfId="0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165" fontId="3" fillId="2" borderId="0" xfId="0" applyNumberFormat="1" applyFont="1" applyFill="1" applyAlignment="1">
      <alignment vertical="center"/>
    </xf>
    <xf numFmtId="165" fontId="0" fillId="0" borderId="0" xfId="0" applyNumberFormat="1"/>
    <xf numFmtId="0" fontId="5" fillId="0" borderId="0" xfId="0" applyFont="1"/>
    <xf numFmtId="164" fontId="0" fillId="0" borderId="0" xfId="2" applyFont="1"/>
    <xf numFmtId="164" fontId="5" fillId="0" borderId="0" xfId="2" applyFont="1"/>
    <xf numFmtId="0" fontId="6" fillId="0" borderId="0" xfId="1" applyFont="1"/>
    <xf numFmtId="0" fontId="7" fillId="0" borderId="0" xfId="1" applyFont="1"/>
    <xf numFmtId="0" fontId="6" fillId="0" borderId="0" xfId="0" applyFont="1"/>
    <xf numFmtId="165" fontId="6" fillId="0" borderId="0" xfId="0" applyNumberFormat="1" applyFont="1"/>
    <xf numFmtId="43" fontId="6" fillId="0" borderId="0" xfId="0" applyNumberFormat="1" applyFont="1"/>
    <xf numFmtId="165" fontId="3" fillId="2" borderId="3" xfId="0" applyNumberFormat="1" applyFont="1" applyFill="1" applyBorder="1" applyAlignment="1">
      <alignment horizontal="center" vertical="center"/>
    </xf>
    <xf numFmtId="165" fontId="3" fillId="2" borderId="4" xfId="0" applyNumberFormat="1" applyFont="1" applyFill="1" applyBorder="1" applyAlignment="1">
      <alignment horizontal="center" vertical="center"/>
    </xf>
    <xf numFmtId="165" fontId="3" fillId="2" borderId="6" xfId="0" applyNumberFormat="1" applyFont="1" applyFill="1" applyBorder="1" applyAlignment="1">
      <alignment horizontal="center" vertical="center"/>
    </xf>
    <xf numFmtId="165" fontId="3" fillId="2" borderId="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left" vertical="center"/>
    </xf>
    <xf numFmtId="41" fontId="7" fillId="0" borderId="7" xfId="0" applyNumberFormat="1" applyFont="1" applyBorder="1" applyAlignment="1">
      <alignment horizontal="center" vertical="center"/>
    </xf>
    <xf numFmtId="0" fontId="7" fillId="0" borderId="11" xfId="0" quotePrefix="1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/>
    </xf>
    <xf numFmtId="41" fontId="6" fillId="0" borderId="12" xfId="0" applyNumberFormat="1" applyFont="1" applyBorder="1" applyAlignment="1">
      <alignment horizontal="center" vertical="center"/>
    </xf>
    <xf numFmtId="41" fontId="6" fillId="0" borderId="13" xfId="0" applyNumberFormat="1" applyFont="1" applyBorder="1" applyAlignment="1">
      <alignment horizontal="center" vertical="center"/>
    </xf>
    <xf numFmtId="0" fontId="6" fillId="0" borderId="14" xfId="0" quotePrefix="1" applyFont="1" applyBorder="1" applyAlignment="1">
      <alignment horizontal="center" vertical="center"/>
    </xf>
    <xf numFmtId="0" fontId="6" fillId="0" borderId="15" xfId="0" quotePrefix="1" applyFont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/>
    </xf>
    <xf numFmtId="41" fontId="6" fillId="0" borderId="15" xfId="0" applyNumberFormat="1" applyFont="1" applyBorder="1" applyAlignment="1">
      <alignment horizontal="center" vertical="center"/>
    </xf>
    <xf numFmtId="41" fontId="6" fillId="0" borderId="16" xfId="0" applyNumberFormat="1" applyFont="1" applyBorder="1" applyAlignment="1">
      <alignment horizontal="center" vertical="center"/>
    </xf>
    <xf numFmtId="0" fontId="6" fillId="0" borderId="17" xfId="0" quotePrefix="1" applyFont="1" applyBorder="1" applyAlignment="1">
      <alignment horizontal="center" vertical="center"/>
    </xf>
    <xf numFmtId="0" fontId="6" fillId="0" borderId="18" xfId="0" quotePrefix="1" applyFont="1" applyBorder="1" applyAlignment="1">
      <alignment horizontal="left" vertical="center" wrapText="1"/>
    </xf>
    <xf numFmtId="0" fontId="6" fillId="0" borderId="18" xfId="0" applyFont="1" applyBorder="1" applyAlignment="1">
      <alignment horizontal="center" vertical="center"/>
    </xf>
    <xf numFmtId="41" fontId="6" fillId="0" borderId="18" xfId="0" applyNumberFormat="1" applyFont="1" applyBorder="1" applyAlignment="1">
      <alignment horizontal="center" vertical="center"/>
    </xf>
    <xf numFmtId="41" fontId="6" fillId="0" borderId="19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7" fillId="0" borderId="11" xfId="0" quotePrefix="1" applyFont="1" applyBorder="1" applyAlignment="1">
      <alignment horizontal="center" vertical="center" wrapText="1"/>
    </xf>
    <xf numFmtId="0" fontId="7" fillId="0" borderId="12" xfId="0" quotePrefix="1" applyFont="1" applyBorder="1" applyAlignment="1">
      <alignment horizontal="left" vertical="center" wrapText="1"/>
    </xf>
    <xf numFmtId="0" fontId="7" fillId="0" borderId="12" xfId="0" quotePrefix="1" applyFont="1" applyBorder="1" applyAlignment="1">
      <alignment horizontal="right" vertical="center" wrapText="1"/>
    </xf>
    <xf numFmtId="41" fontId="7" fillId="0" borderId="13" xfId="0" applyNumberFormat="1" applyFont="1" applyBorder="1" applyAlignment="1">
      <alignment horizontal="center" vertical="center"/>
    </xf>
    <xf numFmtId="166" fontId="6" fillId="0" borderId="15" xfId="3" quotePrefix="1" applyNumberFormat="1" applyFont="1" applyBorder="1" applyAlignment="1">
      <alignment horizontal="right" vertical="center" wrapText="1"/>
    </xf>
    <xf numFmtId="166" fontId="6" fillId="0" borderId="18" xfId="3" quotePrefix="1" applyNumberFormat="1" applyFont="1" applyBorder="1" applyAlignment="1">
      <alignment horizontal="right" vertical="center" wrapText="1"/>
    </xf>
    <xf numFmtId="43" fontId="6" fillId="0" borderId="0" xfId="0" applyNumberFormat="1" applyFont="1" applyFill="1"/>
    <xf numFmtId="0" fontId="7" fillId="0" borderId="12" xfId="0" quotePrefix="1" applyFont="1" applyBorder="1" applyAlignment="1">
      <alignment horizontal="center" vertical="center" wrapText="1"/>
    </xf>
    <xf numFmtId="0" fontId="6" fillId="0" borderId="15" xfId="0" quotePrefix="1" applyFont="1" applyBorder="1" applyAlignment="1">
      <alignment horizontal="center" vertical="center" wrapText="1"/>
    </xf>
    <xf numFmtId="0" fontId="6" fillId="0" borderId="18" xfId="0" quotePrefix="1" applyFont="1" applyBorder="1" applyAlignment="1">
      <alignment horizontal="center" vertical="center" wrapText="1"/>
    </xf>
    <xf numFmtId="0" fontId="6" fillId="0" borderId="0" xfId="1" applyFont="1" applyAlignment="1">
      <alignment vertical="top"/>
    </xf>
    <xf numFmtId="0" fontId="6" fillId="0" borderId="14" xfId="0" quotePrefix="1" applyFont="1" applyBorder="1" applyAlignment="1">
      <alignment horizontal="center" vertical="center" wrapText="1"/>
    </xf>
    <xf numFmtId="0" fontId="7" fillId="0" borderId="0" xfId="1" applyFont="1" applyAlignment="1">
      <alignment horizontal="left" wrapText="1"/>
    </xf>
    <xf numFmtId="0" fontId="6" fillId="0" borderId="8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7" fillId="0" borderId="20" xfId="0" quotePrefix="1" applyFont="1" applyBorder="1" applyAlignment="1">
      <alignment horizontal="center" vertical="center" wrapText="1"/>
    </xf>
    <xf numFmtId="0" fontId="7" fillId="0" borderId="21" xfId="0" quotePrefix="1" applyFont="1" applyBorder="1" applyAlignment="1">
      <alignment horizontal="center" vertical="center" wrapText="1"/>
    </xf>
    <xf numFmtId="0" fontId="7" fillId="0" borderId="27" xfId="0" quotePrefix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7" fillId="0" borderId="5" xfId="0" quotePrefix="1" applyFont="1" applyBorder="1" applyAlignment="1">
      <alignment horizontal="right" vertical="center" wrapText="1"/>
    </xf>
    <xf numFmtId="0" fontId="7" fillId="0" borderId="6" xfId="0" quotePrefix="1" applyFont="1" applyBorder="1" applyAlignment="1">
      <alignment horizontal="right" vertical="center" wrapText="1"/>
    </xf>
    <xf numFmtId="0" fontId="7" fillId="0" borderId="5" xfId="0" quotePrefix="1" applyFont="1" applyBorder="1" applyAlignment="1">
      <alignment horizontal="right" vertical="center"/>
    </xf>
    <xf numFmtId="0" fontId="7" fillId="0" borderId="6" xfId="0" quotePrefix="1" applyFont="1" applyBorder="1" applyAlignment="1">
      <alignment horizontal="right" vertical="center"/>
    </xf>
    <xf numFmtId="0" fontId="7" fillId="0" borderId="20" xfId="0" quotePrefix="1" applyFont="1" applyBorder="1" applyAlignment="1">
      <alignment horizontal="right" vertical="center" wrapText="1"/>
    </xf>
    <xf numFmtId="0" fontId="7" fillId="0" borderId="21" xfId="0" quotePrefix="1" applyFont="1" applyBorder="1" applyAlignment="1">
      <alignment horizontal="right" vertical="center" wrapText="1"/>
    </xf>
    <xf numFmtId="0" fontId="7" fillId="0" borderId="22" xfId="0" quotePrefix="1" applyFont="1" applyBorder="1" applyAlignment="1">
      <alignment horizontal="right" vertical="center" wrapText="1"/>
    </xf>
    <xf numFmtId="0" fontId="3" fillId="2" borderId="23" xfId="0" applyFont="1" applyFill="1" applyBorder="1" applyAlignment="1">
      <alignment horizontal="left" vertical="center"/>
    </xf>
    <xf numFmtId="0" fontId="3" fillId="2" borderId="24" xfId="0" applyFont="1" applyFill="1" applyBorder="1" applyAlignment="1">
      <alignment horizontal="left" vertical="center"/>
    </xf>
    <xf numFmtId="0" fontId="3" fillId="2" borderId="25" xfId="0" applyFont="1" applyFill="1" applyBorder="1" applyAlignment="1">
      <alignment horizontal="left" vertical="center"/>
    </xf>
  </cellXfs>
  <cellStyles count="4">
    <cellStyle name="Comma" xfId="3" builtinId="3"/>
    <cellStyle name="Comma [0]" xfId="2" builtinId="6"/>
    <cellStyle name="Normal" xfId="0" builtinId="0"/>
    <cellStyle name="Normal 2" xfId="1" xr:uid="{A7C61074-875A-437D-AD77-FFA0CFA619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226060</xdr:colOff>
      <xdr:row>75</xdr:row>
      <xdr:rowOff>36195</xdr:rowOff>
    </xdr:from>
    <xdr:to>
      <xdr:col>5</xdr:col>
      <xdr:colOff>997585</xdr:colOff>
      <xdr:row>87</xdr:row>
      <xdr:rowOff>102577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F35C76A-68F8-4F15-9EAE-6B502C618093}"/>
            </a:ext>
          </a:extLst>
        </xdr:cNvPr>
        <xdr:cNvSpPr txBox="1"/>
      </xdr:nvSpPr>
      <xdr:spPr>
        <a:xfrm>
          <a:off x="5017868" y="10704195"/>
          <a:ext cx="3460505" cy="23523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Approved By,</a:t>
          </a:r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r>
            <a:rPr lang="en-US" sz="1600" b="1" u="sng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I Putu Gede Putra Adnyana, S.T., M.M.</a:t>
          </a:r>
        </a:p>
        <a:p>
          <a:pPr algn="ctr"/>
          <a:r>
            <a:rPr lang="en-US" sz="1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Direktur</a:t>
          </a:r>
          <a:endParaRPr lang="en-US" sz="1600">
            <a:effectLst/>
          </a:endParaRPr>
        </a:p>
      </xdr:txBody>
    </xdr:sp>
    <xdr:clientData/>
  </xdr:twoCellAnchor>
  <xdr:twoCellAnchor>
    <xdr:from>
      <xdr:col>0</xdr:col>
      <xdr:colOff>409575</xdr:colOff>
      <xdr:row>76</xdr:row>
      <xdr:rowOff>19050</xdr:rowOff>
    </xdr:from>
    <xdr:to>
      <xdr:col>1</xdr:col>
      <xdr:colOff>3311769</xdr:colOff>
      <xdr:row>86</xdr:row>
      <xdr:rowOff>168519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7AFA960-C74D-425E-8968-7890E6FAA785}"/>
            </a:ext>
          </a:extLst>
        </xdr:cNvPr>
        <xdr:cNvSpPr txBox="1"/>
      </xdr:nvSpPr>
      <xdr:spPr>
        <a:xfrm>
          <a:off x="409575" y="10877550"/>
          <a:ext cx="3576271" cy="20544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Prepared by,</a:t>
          </a:r>
        </a:p>
        <a:p>
          <a:pPr marL="0" indent="0" algn="ctr"/>
          <a:r>
            <a:rPr lang="en-US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PT MAHA </a:t>
          </a:r>
          <a:r>
            <a:rPr lang="id-ID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PUTRA ENGINEERING</a:t>
          </a: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en-US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endParaRPr lang="id-ID" sz="1600" baseline="0">
            <a:solidFill>
              <a:schemeClr val="dk1"/>
            </a:solidFill>
            <a:latin typeface="+mn-lt"/>
            <a:ea typeface="+mn-ea"/>
            <a:cs typeface="Times New Roman" panose="02020603050405020304" pitchFamily="18" charset="0"/>
          </a:endParaRPr>
        </a:p>
        <a:p>
          <a:pPr marL="0" indent="0" algn="ctr"/>
          <a:r>
            <a:rPr lang="en-US" sz="1600" b="1" u="sng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Wintari</a:t>
          </a:r>
        </a:p>
        <a:p>
          <a:pPr marL="0" indent="0" algn="ctr"/>
          <a:r>
            <a:rPr lang="id-ID" sz="1600" baseline="0">
              <a:solidFill>
                <a:schemeClr val="dk1"/>
              </a:solidFill>
              <a:latin typeface="+mn-lt"/>
              <a:ea typeface="+mn-ea"/>
              <a:cs typeface="Times New Roman" panose="02020603050405020304" pitchFamily="18" charset="0"/>
            </a:rPr>
            <a:t>Admin Back Office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EB22B-ACEF-4EE6-9010-0E96248A525B}">
  <dimension ref="A1:H75"/>
  <sheetViews>
    <sheetView tabSelected="1" view="pageBreakPreview" topLeftCell="A7" zoomScale="130" zoomScaleNormal="100" zoomScaleSheetLayoutView="130" workbookViewId="0">
      <selection activeCell="B11" sqref="B11"/>
    </sheetView>
  </sheetViews>
  <sheetFormatPr defaultRowHeight="15" x14ac:dyDescent="0.25"/>
  <cols>
    <col min="1" max="1" width="12.7109375" customWidth="1"/>
    <col min="2" max="2" width="50.7109375" customWidth="1"/>
    <col min="3" max="3" width="11" customWidth="1"/>
    <col min="4" max="4" width="12.140625" customWidth="1"/>
    <col min="5" max="6" width="28.140625" style="5" customWidth="1"/>
    <col min="8" max="8" width="20.7109375" style="7" customWidth="1"/>
    <col min="9" max="9" width="20.7109375" customWidth="1"/>
  </cols>
  <sheetData>
    <row r="1" spans="1:6" hidden="1" x14ac:dyDescent="0.25"/>
    <row r="2" spans="1:6" hidden="1" x14ac:dyDescent="0.25"/>
    <row r="3" spans="1:6" hidden="1" x14ac:dyDescent="0.25"/>
    <row r="4" spans="1:6" hidden="1" x14ac:dyDescent="0.25"/>
    <row r="5" spans="1:6" hidden="1" x14ac:dyDescent="0.25"/>
    <row r="6" spans="1:6" hidden="1" x14ac:dyDescent="0.25"/>
    <row r="7" spans="1:6" ht="21" x14ac:dyDescent="0.25">
      <c r="A7" s="1" t="s">
        <v>0</v>
      </c>
      <c r="B7" s="2"/>
      <c r="C7" s="3"/>
      <c r="D7" s="3"/>
      <c r="E7" s="4" t="s">
        <v>1</v>
      </c>
    </row>
    <row r="8" spans="1:6" ht="21" x14ac:dyDescent="0.35">
      <c r="A8" s="9" t="s">
        <v>2</v>
      </c>
      <c r="B8" s="10" t="s">
        <v>25</v>
      </c>
      <c r="C8" s="11"/>
      <c r="D8" s="11"/>
      <c r="E8" s="12" t="s">
        <v>3</v>
      </c>
      <c r="F8" s="44" t="s">
        <v>82</v>
      </c>
    </row>
    <row r="9" spans="1:6" ht="21" x14ac:dyDescent="0.35">
      <c r="A9" s="9" t="s">
        <v>4</v>
      </c>
      <c r="B9" s="10" t="s">
        <v>31</v>
      </c>
      <c r="C9" s="11"/>
      <c r="D9" s="11"/>
      <c r="E9" s="12" t="s">
        <v>5</v>
      </c>
      <c r="F9" s="13" t="s">
        <v>83</v>
      </c>
    </row>
    <row r="10" spans="1:6" ht="21" x14ac:dyDescent="0.35">
      <c r="A10" s="9" t="s">
        <v>24</v>
      </c>
      <c r="B10" s="10" t="s">
        <v>32</v>
      </c>
      <c r="C10" s="11"/>
      <c r="D10" s="11"/>
      <c r="E10" s="12" t="s">
        <v>6</v>
      </c>
      <c r="F10" s="13" t="s">
        <v>84</v>
      </c>
    </row>
    <row r="11" spans="1:6" ht="21" x14ac:dyDescent="0.35">
      <c r="A11" s="9" t="s">
        <v>7</v>
      </c>
      <c r="B11" s="10" t="s">
        <v>33</v>
      </c>
      <c r="C11" s="11"/>
      <c r="D11" s="11"/>
      <c r="E11" s="12"/>
      <c r="F11" s="12"/>
    </row>
    <row r="12" spans="1:6" ht="41.25" customHeight="1" x14ac:dyDescent="0.35">
      <c r="A12" s="48" t="s">
        <v>8</v>
      </c>
      <c r="B12" s="50" t="s">
        <v>34</v>
      </c>
      <c r="C12" s="50"/>
      <c r="D12" s="50"/>
      <c r="E12" s="12"/>
      <c r="F12" s="12"/>
    </row>
    <row r="13" spans="1:6" ht="21" x14ac:dyDescent="0.35">
      <c r="A13" s="9"/>
      <c r="B13" s="10"/>
      <c r="C13" s="11"/>
      <c r="D13" s="11"/>
      <c r="E13" s="12"/>
      <c r="F13" s="12"/>
    </row>
    <row r="14" spans="1:6" ht="21" x14ac:dyDescent="0.35">
      <c r="A14" s="11" t="s">
        <v>9</v>
      </c>
      <c r="B14" s="11"/>
      <c r="C14" s="11"/>
      <c r="D14" s="11"/>
      <c r="E14" s="12"/>
      <c r="F14" s="12"/>
    </row>
    <row r="15" spans="1:6" ht="21" x14ac:dyDescent="0.35">
      <c r="A15" s="11" t="s">
        <v>21</v>
      </c>
      <c r="B15" s="11"/>
      <c r="C15" s="11"/>
      <c r="D15" s="11"/>
      <c r="E15" s="12"/>
      <c r="F15" s="12"/>
    </row>
    <row r="16" spans="1:6" ht="21.75" thickBot="1" x14ac:dyDescent="0.4">
      <c r="A16" s="11"/>
      <c r="B16" s="11"/>
      <c r="C16" s="11"/>
      <c r="D16" s="11"/>
      <c r="E16" s="12"/>
      <c r="F16" s="12"/>
    </row>
    <row r="17" spans="1:6" ht="21.75" thickTop="1" x14ac:dyDescent="0.25">
      <c r="A17" s="63" t="s">
        <v>10</v>
      </c>
      <c r="B17" s="65" t="s">
        <v>11</v>
      </c>
      <c r="C17" s="65" t="s">
        <v>12</v>
      </c>
      <c r="D17" s="65" t="s">
        <v>13</v>
      </c>
      <c r="E17" s="14" t="s">
        <v>14</v>
      </c>
      <c r="F17" s="15" t="s">
        <v>15</v>
      </c>
    </row>
    <row r="18" spans="1:6" ht="21" x14ac:dyDescent="0.25">
      <c r="A18" s="64"/>
      <c r="B18" s="66"/>
      <c r="C18" s="66"/>
      <c r="D18" s="66"/>
      <c r="E18" s="16" t="s">
        <v>16</v>
      </c>
      <c r="F18" s="17" t="s">
        <v>16</v>
      </c>
    </row>
    <row r="19" spans="1:6" ht="21" x14ac:dyDescent="0.25">
      <c r="A19" s="21" t="s">
        <v>26</v>
      </c>
      <c r="B19" s="22" t="s">
        <v>35</v>
      </c>
      <c r="C19" s="23"/>
      <c r="D19" s="23"/>
      <c r="E19" s="24"/>
      <c r="F19" s="25"/>
    </row>
    <row r="20" spans="1:6" ht="21" x14ac:dyDescent="0.25">
      <c r="A20" s="26">
        <v>1</v>
      </c>
      <c r="B20" s="27" t="s">
        <v>36</v>
      </c>
      <c r="C20" s="28" t="s">
        <v>38</v>
      </c>
      <c r="D20" s="28">
        <v>1</v>
      </c>
      <c r="E20" s="29">
        <v>125000</v>
      </c>
      <c r="F20" s="30">
        <f>E20*D20</f>
        <v>125000</v>
      </c>
    </row>
    <row r="21" spans="1:6" ht="21" x14ac:dyDescent="0.25">
      <c r="A21" s="31">
        <v>2</v>
      </c>
      <c r="B21" s="32" t="s">
        <v>37</v>
      </c>
      <c r="C21" s="33" t="s">
        <v>28</v>
      </c>
      <c r="D21" s="33">
        <v>1</v>
      </c>
      <c r="E21" s="34">
        <v>150000</v>
      </c>
      <c r="F21" s="35">
        <f t="shared" ref="F21" si="0">E21*D21</f>
        <v>150000</v>
      </c>
    </row>
    <row r="22" spans="1:6" ht="21" x14ac:dyDescent="0.25">
      <c r="A22" s="67" t="s">
        <v>79</v>
      </c>
      <c r="B22" s="68"/>
      <c r="C22" s="68"/>
      <c r="D22" s="68"/>
      <c r="E22" s="68"/>
      <c r="F22" s="20">
        <f>SUM(F19:F21)</f>
        <v>275000</v>
      </c>
    </row>
    <row r="23" spans="1:6" ht="21" x14ac:dyDescent="0.25">
      <c r="A23" s="21" t="s">
        <v>27</v>
      </c>
      <c r="B23" s="22" t="s">
        <v>39</v>
      </c>
      <c r="C23" s="23"/>
      <c r="D23" s="23"/>
      <c r="E23" s="24"/>
      <c r="F23" s="25"/>
    </row>
    <row r="24" spans="1:6" ht="21" x14ac:dyDescent="0.25">
      <c r="A24" s="26">
        <v>1</v>
      </c>
      <c r="B24" s="36" t="s">
        <v>40</v>
      </c>
      <c r="C24" s="28" t="s">
        <v>38</v>
      </c>
      <c r="D24" s="28">
        <v>1</v>
      </c>
      <c r="E24" s="29">
        <v>14500</v>
      </c>
      <c r="F24" s="30">
        <f>E24*D24</f>
        <v>14500</v>
      </c>
    </row>
    <row r="25" spans="1:6" ht="21" x14ac:dyDescent="0.25">
      <c r="A25" s="26">
        <v>2</v>
      </c>
      <c r="B25" s="36" t="s">
        <v>41</v>
      </c>
      <c r="C25" s="28" t="s">
        <v>38</v>
      </c>
      <c r="D25" s="28">
        <v>1</v>
      </c>
      <c r="E25" s="29">
        <v>145000</v>
      </c>
      <c r="F25" s="30">
        <f>E25*D25</f>
        <v>145000</v>
      </c>
    </row>
    <row r="26" spans="1:6" ht="21" x14ac:dyDescent="0.25">
      <c r="A26" s="26">
        <v>3</v>
      </c>
      <c r="B26" s="36" t="s">
        <v>42</v>
      </c>
      <c r="C26" s="28" t="s">
        <v>38</v>
      </c>
      <c r="D26" s="28">
        <v>1</v>
      </c>
      <c r="E26" s="29">
        <v>8000</v>
      </c>
      <c r="F26" s="30">
        <f t="shared" ref="F26:F29" si="1">E26*D26</f>
        <v>8000</v>
      </c>
    </row>
    <row r="27" spans="1:6" ht="21" x14ac:dyDescent="0.25">
      <c r="A27" s="26">
        <v>4</v>
      </c>
      <c r="B27" s="36" t="s">
        <v>43</v>
      </c>
      <c r="C27" s="28" t="s">
        <v>72</v>
      </c>
      <c r="D27" s="28">
        <v>1</v>
      </c>
      <c r="E27" s="29">
        <v>195000</v>
      </c>
      <c r="F27" s="30">
        <f t="shared" si="1"/>
        <v>195000</v>
      </c>
    </row>
    <row r="28" spans="1:6" ht="21" x14ac:dyDescent="0.25">
      <c r="A28" s="26">
        <v>5</v>
      </c>
      <c r="B28" s="36" t="s">
        <v>44</v>
      </c>
      <c r="C28" s="28" t="s">
        <v>73</v>
      </c>
      <c r="D28" s="28">
        <v>1</v>
      </c>
      <c r="E28" s="29">
        <v>100000</v>
      </c>
      <c r="F28" s="30">
        <f t="shared" si="1"/>
        <v>100000</v>
      </c>
    </row>
    <row r="29" spans="1:6" ht="21" x14ac:dyDescent="0.25">
      <c r="A29" s="26">
        <v>6</v>
      </c>
      <c r="B29" s="37" t="s">
        <v>45</v>
      </c>
      <c r="C29" s="33" t="s">
        <v>28</v>
      </c>
      <c r="D29" s="33">
        <v>1</v>
      </c>
      <c r="E29" s="34">
        <v>250000</v>
      </c>
      <c r="F29" s="30">
        <f t="shared" si="1"/>
        <v>250000</v>
      </c>
    </row>
    <row r="30" spans="1:6" ht="21" x14ac:dyDescent="0.25">
      <c r="A30" s="67" t="s">
        <v>78</v>
      </c>
      <c r="B30" s="68"/>
      <c r="C30" s="68"/>
      <c r="D30" s="68"/>
      <c r="E30" s="68"/>
      <c r="F30" s="20">
        <f>SUM(F23:F29)</f>
        <v>712500</v>
      </c>
    </row>
    <row r="31" spans="1:6" ht="21" x14ac:dyDescent="0.25">
      <c r="A31" s="38" t="s">
        <v>46</v>
      </c>
      <c r="B31" s="39" t="s">
        <v>47</v>
      </c>
      <c r="C31" s="45"/>
      <c r="D31" s="45"/>
      <c r="E31" s="40"/>
      <c r="F31" s="41"/>
    </row>
    <row r="32" spans="1:6" ht="21" x14ac:dyDescent="0.25">
      <c r="A32" s="49">
        <v>1</v>
      </c>
      <c r="B32" s="27" t="s">
        <v>48</v>
      </c>
      <c r="C32" s="46" t="s">
        <v>72</v>
      </c>
      <c r="D32" s="46">
        <v>1</v>
      </c>
      <c r="E32" s="42">
        <v>1970000</v>
      </c>
      <c r="F32" s="30">
        <f>E32*D32</f>
        <v>1970000</v>
      </c>
    </row>
    <row r="33" spans="1:6" ht="21" x14ac:dyDescent="0.25">
      <c r="A33" s="49">
        <v>2</v>
      </c>
      <c r="B33" s="27" t="s">
        <v>49</v>
      </c>
      <c r="C33" s="46" t="s">
        <v>74</v>
      </c>
      <c r="D33" s="46">
        <v>5</v>
      </c>
      <c r="E33" s="42">
        <v>35000</v>
      </c>
      <c r="F33" s="30">
        <f t="shared" ref="F33:F59" si="2">E33*D33</f>
        <v>175000</v>
      </c>
    </row>
    <row r="34" spans="1:6" ht="21" x14ac:dyDescent="0.25">
      <c r="A34" s="49">
        <v>3</v>
      </c>
      <c r="B34" s="27" t="s">
        <v>50</v>
      </c>
      <c r="C34" s="46" t="s">
        <v>74</v>
      </c>
      <c r="D34" s="46">
        <v>5</v>
      </c>
      <c r="E34" s="42">
        <v>35000</v>
      </c>
      <c r="F34" s="30">
        <f t="shared" si="2"/>
        <v>175000</v>
      </c>
    </row>
    <row r="35" spans="1:6" ht="21" x14ac:dyDescent="0.25">
      <c r="A35" s="49">
        <v>4</v>
      </c>
      <c r="B35" s="27" t="s">
        <v>51</v>
      </c>
      <c r="C35" s="46" t="s">
        <v>38</v>
      </c>
      <c r="D35" s="46">
        <v>2</v>
      </c>
      <c r="E35" s="42">
        <v>6500</v>
      </c>
      <c r="F35" s="30">
        <f t="shared" si="2"/>
        <v>13000</v>
      </c>
    </row>
    <row r="36" spans="1:6" ht="21" x14ac:dyDescent="0.25">
      <c r="A36" s="49">
        <v>5</v>
      </c>
      <c r="B36" s="27" t="s">
        <v>52</v>
      </c>
      <c r="C36" s="46" t="s">
        <v>72</v>
      </c>
      <c r="D36" s="46">
        <v>1</v>
      </c>
      <c r="E36" s="42">
        <v>165000</v>
      </c>
      <c r="F36" s="30">
        <f t="shared" si="2"/>
        <v>165000</v>
      </c>
    </row>
    <row r="37" spans="1:6" ht="21" x14ac:dyDescent="0.25">
      <c r="A37" s="49">
        <v>6</v>
      </c>
      <c r="B37" s="27" t="s">
        <v>53</v>
      </c>
      <c r="C37" s="46" t="s">
        <v>38</v>
      </c>
      <c r="D37" s="46">
        <v>1</v>
      </c>
      <c r="E37" s="42">
        <v>720000</v>
      </c>
      <c r="F37" s="30">
        <f t="shared" si="2"/>
        <v>720000</v>
      </c>
    </row>
    <row r="38" spans="1:6" ht="21" x14ac:dyDescent="0.25">
      <c r="A38" s="49">
        <v>7</v>
      </c>
      <c r="B38" s="27" t="s">
        <v>43</v>
      </c>
      <c r="C38" s="46" t="s">
        <v>38</v>
      </c>
      <c r="D38" s="46">
        <v>1</v>
      </c>
      <c r="E38" s="42">
        <v>195000</v>
      </c>
      <c r="F38" s="30">
        <f t="shared" si="2"/>
        <v>195000</v>
      </c>
    </row>
    <row r="39" spans="1:6" ht="21" x14ac:dyDescent="0.25">
      <c r="A39" s="49">
        <v>8</v>
      </c>
      <c r="B39" s="36" t="s">
        <v>41</v>
      </c>
      <c r="C39" s="46" t="s">
        <v>38</v>
      </c>
      <c r="D39" s="46">
        <v>2</v>
      </c>
      <c r="E39" s="42">
        <v>145000</v>
      </c>
      <c r="F39" s="30">
        <f t="shared" si="2"/>
        <v>290000</v>
      </c>
    </row>
    <row r="40" spans="1:6" ht="21" x14ac:dyDescent="0.25">
      <c r="A40" s="49">
        <v>9</v>
      </c>
      <c r="B40" s="36" t="s">
        <v>54</v>
      </c>
      <c r="C40" s="46" t="s">
        <v>38</v>
      </c>
      <c r="D40" s="46">
        <v>2</v>
      </c>
      <c r="E40" s="42">
        <v>65000</v>
      </c>
      <c r="F40" s="30">
        <f t="shared" si="2"/>
        <v>130000</v>
      </c>
    </row>
    <row r="41" spans="1:6" ht="21" x14ac:dyDescent="0.25">
      <c r="A41" s="49">
        <v>10</v>
      </c>
      <c r="B41" s="36" t="s">
        <v>55</v>
      </c>
      <c r="C41" s="46" t="s">
        <v>75</v>
      </c>
      <c r="D41" s="46">
        <v>1</v>
      </c>
      <c r="E41" s="42">
        <v>39000</v>
      </c>
      <c r="F41" s="30">
        <f t="shared" si="2"/>
        <v>39000</v>
      </c>
    </row>
    <row r="42" spans="1:6" ht="21" x14ac:dyDescent="0.25">
      <c r="A42" s="49">
        <v>11</v>
      </c>
      <c r="B42" s="36" t="s">
        <v>56</v>
      </c>
      <c r="C42" s="46" t="s">
        <v>75</v>
      </c>
      <c r="D42" s="46">
        <v>1</v>
      </c>
      <c r="E42" s="42">
        <v>31000</v>
      </c>
      <c r="F42" s="30">
        <f t="shared" si="2"/>
        <v>31000</v>
      </c>
    </row>
    <row r="43" spans="1:6" ht="21" x14ac:dyDescent="0.25">
      <c r="A43" s="49">
        <v>12</v>
      </c>
      <c r="B43" s="36" t="s">
        <v>57</v>
      </c>
      <c r="C43" s="46" t="s">
        <v>38</v>
      </c>
      <c r="D43" s="46">
        <v>1</v>
      </c>
      <c r="E43" s="42">
        <v>14500</v>
      </c>
      <c r="F43" s="30">
        <f t="shared" si="2"/>
        <v>14500</v>
      </c>
    </row>
    <row r="44" spans="1:6" ht="21" x14ac:dyDescent="0.25">
      <c r="A44" s="49">
        <v>13</v>
      </c>
      <c r="B44" s="36" t="s">
        <v>58</v>
      </c>
      <c r="C44" s="46" t="s">
        <v>38</v>
      </c>
      <c r="D44" s="46">
        <v>2</v>
      </c>
      <c r="E44" s="42">
        <v>6000</v>
      </c>
      <c r="F44" s="30">
        <f t="shared" si="2"/>
        <v>12000</v>
      </c>
    </row>
    <row r="45" spans="1:6" ht="21" x14ac:dyDescent="0.25">
      <c r="A45" s="49">
        <v>14</v>
      </c>
      <c r="B45" s="36" t="s">
        <v>59</v>
      </c>
      <c r="C45" s="46" t="s">
        <v>38</v>
      </c>
      <c r="D45" s="46">
        <v>2</v>
      </c>
      <c r="E45" s="42">
        <v>7000</v>
      </c>
      <c r="F45" s="30">
        <f t="shared" si="2"/>
        <v>14000</v>
      </c>
    </row>
    <row r="46" spans="1:6" ht="21" x14ac:dyDescent="0.25">
      <c r="A46" s="49">
        <v>15</v>
      </c>
      <c r="B46" s="36" t="s">
        <v>60</v>
      </c>
      <c r="C46" s="46" t="s">
        <v>38</v>
      </c>
      <c r="D46" s="46">
        <v>1</v>
      </c>
      <c r="E46" s="42">
        <v>7000</v>
      </c>
      <c r="F46" s="30">
        <f t="shared" si="2"/>
        <v>7000</v>
      </c>
    </row>
    <row r="47" spans="1:6" ht="21" x14ac:dyDescent="0.25">
      <c r="A47" s="49">
        <v>16</v>
      </c>
      <c r="B47" s="36" t="s">
        <v>61</v>
      </c>
      <c r="C47" s="46" t="s">
        <v>38</v>
      </c>
      <c r="D47" s="46">
        <v>2</v>
      </c>
      <c r="E47" s="42">
        <v>8000</v>
      </c>
      <c r="F47" s="30">
        <f t="shared" si="2"/>
        <v>16000</v>
      </c>
    </row>
    <row r="48" spans="1:6" ht="21" x14ac:dyDescent="0.25">
      <c r="A48" s="49">
        <v>17</v>
      </c>
      <c r="B48" s="36" t="s">
        <v>62</v>
      </c>
      <c r="C48" s="46" t="s">
        <v>38</v>
      </c>
      <c r="D48" s="46">
        <v>1</v>
      </c>
      <c r="E48" s="42">
        <v>14000</v>
      </c>
      <c r="F48" s="30">
        <f t="shared" si="2"/>
        <v>14000</v>
      </c>
    </row>
    <row r="49" spans="1:6" ht="21" x14ac:dyDescent="0.25">
      <c r="A49" s="49">
        <v>18</v>
      </c>
      <c r="B49" s="36" t="s">
        <v>42</v>
      </c>
      <c r="C49" s="46" t="s">
        <v>38</v>
      </c>
      <c r="D49" s="46">
        <v>4</v>
      </c>
      <c r="E49" s="42">
        <v>8000</v>
      </c>
      <c r="F49" s="30">
        <f t="shared" si="2"/>
        <v>32000</v>
      </c>
    </row>
    <row r="50" spans="1:6" ht="21" x14ac:dyDescent="0.25">
      <c r="A50" s="49">
        <v>19</v>
      </c>
      <c r="B50" s="36" t="s">
        <v>63</v>
      </c>
      <c r="C50" s="46" t="s">
        <v>38</v>
      </c>
      <c r="D50" s="46">
        <v>1</v>
      </c>
      <c r="E50" s="42">
        <v>45000</v>
      </c>
      <c r="F50" s="30">
        <f t="shared" si="2"/>
        <v>45000</v>
      </c>
    </row>
    <row r="51" spans="1:6" ht="21" x14ac:dyDescent="0.25">
      <c r="A51" s="49">
        <v>20</v>
      </c>
      <c r="B51" s="36" t="s">
        <v>64</v>
      </c>
      <c r="C51" s="46" t="s">
        <v>38</v>
      </c>
      <c r="D51" s="46">
        <v>1</v>
      </c>
      <c r="E51" s="42">
        <v>35000</v>
      </c>
      <c r="F51" s="30">
        <f t="shared" si="2"/>
        <v>35000</v>
      </c>
    </row>
    <row r="52" spans="1:6" ht="21" x14ac:dyDescent="0.25">
      <c r="A52" s="49">
        <v>21</v>
      </c>
      <c r="B52" s="36" t="s">
        <v>65</v>
      </c>
      <c r="C52" s="46" t="s">
        <v>38</v>
      </c>
      <c r="D52" s="46">
        <v>4</v>
      </c>
      <c r="E52" s="42">
        <v>11000</v>
      </c>
      <c r="F52" s="30">
        <f t="shared" si="2"/>
        <v>44000</v>
      </c>
    </row>
    <row r="53" spans="1:6" ht="21" x14ac:dyDescent="0.25">
      <c r="A53" s="49">
        <v>22</v>
      </c>
      <c r="B53" s="36" t="s">
        <v>66</v>
      </c>
      <c r="C53" s="46" t="s">
        <v>75</v>
      </c>
      <c r="D53" s="46">
        <v>2</v>
      </c>
      <c r="E53" s="42">
        <v>65000</v>
      </c>
      <c r="F53" s="30">
        <f t="shared" si="2"/>
        <v>130000</v>
      </c>
    </row>
    <row r="54" spans="1:6" ht="21" x14ac:dyDescent="0.25">
      <c r="A54" s="49">
        <v>23</v>
      </c>
      <c r="B54" s="36" t="s">
        <v>67</v>
      </c>
      <c r="C54" s="46" t="s">
        <v>38</v>
      </c>
      <c r="D54" s="46">
        <v>2</v>
      </c>
      <c r="E54" s="42">
        <v>7000</v>
      </c>
      <c r="F54" s="30">
        <f t="shared" si="2"/>
        <v>14000</v>
      </c>
    </row>
    <row r="55" spans="1:6" ht="21" x14ac:dyDescent="0.25">
      <c r="A55" s="49">
        <v>24</v>
      </c>
      <c r="B55" s="36" t="s">
        <v>68</v>
      </c>
      <c r="C55" s="46" t="s">
        <v>38</v>
      </c>
      <c r="D55" s="46">
        <v>20</v>
      </c>
      <c r="E55" s="42">
        <v>2000</v>
      </c>
      <c r="F55" s="30">
        <f t="shared" si="2"/>
        <v>40000</v>
      </c>
    </row>
    <row r="56" spans="1:6" ht="21" x14ac:dyDescent="0.25">
      <c r="A56" s="49">
        <v>25</v>
      </c>
      <c r="B56" s="36" t="s">
        <v>44</v>
      </c>
      <c r="C56" s="46" t="s">
        <v>28</v>
      </c>
      <c r="D56" s="46">
        <v>1</v>
      </c>
      <c r="E56" s="42">
        <v>100000</v>
      </c>
      <c r="F56" s="30">
        <f t="shared" si="2"/>
        <v>100000</v>
      </c>
    </row>
    <row r="57" spans="1:6" ht="21" x14ac:dyDescent="0.25">
      <c r="A57" s="49">
        <v>26</v>
      </c>
      <c r="B57" s="36" t="s">
        <v>69</v>
      </c>
      <c r="C57" s="46" t="s">
        <v>28</v>
      </c>
      <c r="D57" s="46">
        <v>1</v>
      </c>
      <c r="E57" s="42">
        <v>300000</v>
      </c>
      <c r="F57" s="30">
        <f t="shared" si="2"/>
        <v>300000</v>
      </c>
    </row>
    <row r="58" spans="1:6" ht="42" x14ac:dyDescent="0.25">
      <c r="A58" s="49">
        <v>27</v>
      </c>
      <c r="B58" s="36" t="s">
        <v>70</v>
      </c>
      <c r="C58" s="46" t="s">
        <v>28</v>
      </c>
      <c r="D58" s="46">
        <v>1</v>
      </c>
      <c r="E58" s="42">
        <v>450000</v>
      </c>
      <c r="F58" s="30">
        <f t="shared" si="2"/>
        <v>450000</v>
      </c>
    </row>
    <row r="59" spans="1:6" ht="21" x14ac:dyDescent="0.25">
      <c r="A59" s="49">
        <v>28</v>
      </c>
      <c r="B59" s="37" t="s">
        <v>71</v>
      </c>
      <c r="C59" s="47" t="s">
        <v>28</v>
      </c>
      <c r="D59" s="47">
        <v>1</v>
      </c>
      <c r="E59" s="43">
        <v>350000</v>
      </c>
      <c r="F59" s="35">
        <f t="shared" si="2"/>
        <v>350000</v>
      </c>
    </row>
    <row r="60" spans="1:6" ht="21" x14ac:dyDescent="0.25">
      <c r="A60" s="71" t="s">
        <v>76</v>
      </c>
      <c r="B60" s="72"/>
      <c r="C60" s="72"/>
      <c r="D60" s="72"/>
      <c r="E60" s="73"/>
      <c r="F60" s="20">
        <f>SUM(F31:F59)</f>
        <v>5520500</v>
      </c>
    </row>
    <row r="61" spans="1:6" ht="21" x14ac:dyDescent="0.25">
      <c r="A61" s="57"/>
      <c r="B61" s="58"/>
      <c r="C61" s="58"/>
      <c r="D61" s="58"/>
      <c r="E61" s="58"/>
      <c r="F61" s="59"/>
    </row>
    <row r="62" spans="1:6" ht="21" x14ac:dyDescent="0.25">
      <c r="A62" s="69" t="s">
        <v>77</v>
      </c>
      <c r="B62" s="70"/>
      <c r="C62" s="70"/>
      <c r="D62" s="70"/>
      <c r="E62" s="70"/>
      <c r="F62" s="20">
        <f>F22+F30+F60</f>
        <v>6508000</v>
      </c>
    </row>
    <row r="63" spans="1:6" ht="21" x14ac:dyDescent="0.25">
      <c r="A63" s="69" t="s">
        <v>22</v>
      </c>
      <c r="B63" s="70"/>
      <c r="C63" s="70"/>
      <c r="D63" s="70"/>
      <c r="E63" s="70"/>
      <c r="F63" s="20">
        <f>F62*11%</f>
        <v>715880</v>
      </c>
    </row>
    <row r="64" spans="1:6" ht="21" x14ac:dyDescent="0.25">
      <c r="A64" s="69" t="s">
        <v>80</v>
      </c>
      <c r="B64" s="70"/>
      <c r="C64" s="70"/>
      <c r="D64" s="70"/>
      <c r="E64" s="70"/>
      <c r="F64" s="20">
        <f>F62+F63</f>
        <v>7223880</v>
      </c>
    </row>
    <row r="65" spans="1:8" s="6" customFormat="1" ht="17.45" customHeight="1" x14ac:dyDescent="0.2">
      <c r="A65" s="74" t="s">
        <v>17</v>
      </c>
      <c r="B65" s="75"/>
      <c r="C65" s="75"/>
      <c r="D65" s="75"/>
      <c r="E65" s="75"/>
      <c r="F65" s="76"/>
      <c r="H65" s="8"/>
    </row>
    <row r="66" spans="1:8" ht="21" x14ac:dyDescent="0.25">
      <c r="A66" s="54" t="s">
        <v>29</v>
      </c>
      <c r="B66" s="55"/>
      <c r="C66" s="55"/>
      <c r="D66" s="55"/>
      <c r="E66" s="55"/>
      <c r="F66" s="56"/>
    </row>
    <row r="67" spans="1:8" ht="21" x14ac:dyDescent="0.25">
      <c r="A67" s="54" t="s">
        <v>85</v>
      </c>
      <c r="B67" s="55"/>
      <c r="C67" s="55"/>
      <c r="D67" s="55"/>
      <c r="E67" s="55"/>
      <c r="F67" s="56"/>
    </row>
    <row r="68" spans="1:8" ht="21" x14ac:dyDescent="0.25">
      <c r="A68" s="54" t="s">
        <v>86</v>
      </c>
      <c r="B68" s="55"/>
      <c r="C68" s="55"/>
      <c r="D68" s="55"/>
      <c r="E68" s="55"/>
      <c r="F68" s="56"/>
    </row>
    <row r="69" spans="1:8" ht="21" x14ac:dyDescent="0.25">
      <c r="A69" s="51" t="s">
        <v>30</v>
      </c>
      <c r="B69" s="52"/>
      <c r="C69" s="52"/>
      <c r="D69" s="52"/>
      <c r="E69" s="52"/>
      <c r="F69" s="53"/>
    </row>
    <row r="70" spans="1:8" ht="21" x14ac:dyDescent="0.25">
      <c r="A70" s="51" t="s">
        <v>23</v>
      </c>
      <c r="B70" s="52"/>
      <c r="C70" s="52"/>
      <c r="D70" s="52"/>
      <c r="E70" s="52"/>
      <c r="F70" s="53"/>
    </row>
    <row r="71" spans="1:8" ht="21" x14ac:dyDescent="0.25">
      <c r="A71" s="54" t="s">
        <v>81</v>
      </c>
      <c r="B71" s="55"/>
      <c r="C71" s="55"/>
      <c r="D71" s="55"/>
      <c r="E71" s="55"/>
      <c r="F71" s="56"/>
    </row>
    <row r="72" spans="1:8" ht="21.75" thickBot="1" x14ac:dyDescent="0.4">
      <c r="A72" s="60" t="s">
        <v>18</v>
      </c>
      <c r="B72" s="61"/>
      <c r="C72" s="61"/>
      <c r="D72" s="61"/>
      <c r="E72" s="61"/>
      <c r="F72" s="62"/>
    </row>
    <row r="73" spans="1:8" ht="21.75" thickTop="1" x14ac:dyDescent="0.35">
      <c r="A73" s="11"/>
      <c r="B73" s="11"/>
      <c r="C73" s="11"/>
      <c r="D73" s="11"/>
      <c r="E73" s="12"/>
      <c r="F73" s="12"/>
    </row>
    <row r="74" spans="1:8" ht="21" x14ac:dyDescent="0.25">
      <c r="A74" s="18" t="s">
        <v>19</v>
      </c>
      <c r="B74" s="18"/>
      <c r="C74" s="18"/>
      <c r="D74" s="18"/>
      <c r="E74" s="19"/>
      <c r="F74" s="19"/>
    </row>
    <row r="75" spans="1:8" ht="21" x14ac:dyDescent="0.25">
      <c r="A75" s="18" t="s">
        <v>20</v>
      </c>
      <c r="B75" s="18"/>
      <c r="C75" s="18"/>
      <c r="D75" s="18"/>
      <c r="E75" s="19"/>
      <c r="F75" s="19"/>
    </row>
  </sheetData>
  <mergeCells count="20">
    <mergeCell ref="A72:F72"/>
    <mergeCell ref="A17:A18"/>
    <mergeCell ref="B17:B18"/>
    <mergeCell ref="C17:C18"/>
    <mergeCell ref="D17:D18"/>
    <mergeCell ref="A22:E22"/>
    <mergeCell ref="A62:E62"/>
    <mergeCell ref="A63:E63"/>
    <mergeCell ref="A64:E64"/>
    <mergeCell ref="A30:E30"/>
    <mergeCell ref="A60:E60"/>
    <mergeCell ref="A65:F65"/>
    <mergeCell ref="A66:F66"/>
    <mergeCell ref="A68:F68"/>
    <mergeCell ref="B12:D12"/>
    <mergeCell ref="A69:F69"/>
    <mergeCell ref="A70:F70"/>
    <mergeCell ref="A71:F71"/>
    <mergeCell ref="A61:F61"/>
    <mergeCell ref="A67:F67"/>
  </mergeCells>
  <phoneticPr fontId="4" type="noConversion"/>
  <pageMargins left="0.38" right="0.33" top="1.5" bottom="0.75" header="0.3" footer="0.3"/>
  <pageSetup paperSize="9" scale="66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MEP </vt:lpstr>
      <vt:lpstr>'MEP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COMPUTER</cp:lastModifiedBy>
  <cp:lastPrinted>2026-08-05T05:28:58Z</cp:lastPrinted>
  <dcterms:created xsi:type="dcterms:W3CDTF">2025-07-22T06:57:18Z</dcterms:created>
  <dcterms:modified xsi:type="dcterms:W3CDTF">2026-08-05T11:11:40Z</dcterms:modified>
</cp:coreProperties>
</file>