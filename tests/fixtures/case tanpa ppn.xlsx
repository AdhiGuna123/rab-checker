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E:\WINTARI\PROJECT\2026\ECHO LAND\"/>
    </mc:Choice>
  </mc:AlternateContent>
  <xr:revisionPtr revIDLastSave="0" documentId="13_ncr:1_{95FDD38F-35D0-4AD5-9256-31BF5EBDD5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B" sheetId="4" r:id="rId1"/>
  </sheets>
  <externalReferences>
    <externalReference r:id="rId2"/>
  </externalReferences>
  <definedNames>
    <definedName name="_Order1">255</definedName>
    <definedName name="_Order2">255</definedName>
    <definedName name="aanstamp">'[1]ANALISA HARGA'!$F$61</definedName>
    <definedName name="aanstamprap">'[1]ANALISA HARGA'!$I$58</definedName>
    <definedName name="acian">'[1]ANALISA HARGA'!$F$214</definedName>
    <definedName name="acianrap">'[1]ANALISA HARGA'!$I$211</definedName>
    <definedName name="albekis">'[1]ANALISA HARGA'!$E$143</definedName>
    <definedName name="albekisrap">'[1]ANALISA HARGA'!$H$143</definedName>
    <definedName name="alcor">'[1]ANALISA HARGA'!$E$77</definedName>
    <definedName name="alcorrap">'[1]ANALISA HARGA'!$H$77</definedName>
    <definedName name="alpon">'[1]ANALISA HARGA'!$E$55</definedName>
    <definedName name="alponrap">'[1]ANALISA HARGA'!$H$55</definedName>
    <definedName name="alurug">'[1]ANALISA HARGA'!$E$32</definedName>
    <definedName name="alurugrap">'[1]ANALISA HARGA'!$H$32</definedName>
    <definedName name="alwire">'[1]ANALISA HARGA'!$E$108</definedName>
    <definedName name="alwirerap">'[1]ANALISA HARGA'!$H$108</definedName>
    <definedName name="amplas">'[1]ANALISA HARGA'!$E$313</definedName>
    <definedName name="amplasrap">'[1]ANALISA HARGA'!$H$313</definedName>
    <definedName name="atapalang">'[1]BOQ Bangunan A'!$J$487</definedName>
    <definedName name="atapalangrap">'[1]BOQ Bangunan A'!$P$487</definedName>
    <definedName name="atapkacagalam">'[1]BOQ Bangunan A'!$J$189</definedName>
    <definedName name="atapkacagalamrap">'[1]BOQ Bangunan A'!$P$189</definedName>
    <definedName name="batualamrandom">'[1]BOQ Bangunan A'!$J$24</definedName>
    <definedName name="batualamrandomrap">'[1]BOQ Bangunan A'!$P$24</definedName>
    <definedName name="batubelah">'[1]ANALISA HARGA'!$E$53</definedName>
    <definedName name="batubelahrap">'[1]ANALISA HARGA'!$H$53</definedName>
    <definedName name="bekisbalok">'[1]ANALISA HARGA'!$F$162</definedName>
    <definedName name="bekisbalokrap">'[1]ANALISA HARGA'!$I$159</definedName>
    <definedName name="bekisbatako">'[1]ANALISA HARGA'!$F$136</definedName>
    <definedName name="bekisbatakorap">'[1]ANALISA HARGA'!$I$133</definedName>
    <definedName name="bekiskolom">'[1]ANALISA HARGA'!$F$148</definedName>
    <definedName name="bekiskolomrap">'[1]ANALISA HARGA'!$I$145</definedName>
    <definedName name="bersih">'[1]RAB Building A'!$Q$9</definedName>
    <definedName name="bondex">'[1]RAB Building A'!$J$150</definedName>
    <definedName name="bondexrap">'[1]RAB Building A'!$P$150</definedName>
    <definedName name="boplank">'[1]RAB Building A'!$Q$12</definedName>
    <definedName name="buangtn">'[1]Analisa kusen jangan disubmit'!$E$231</definedName>
    <definedName name="catex">'[1]ANALISA HARGA'!$F$320</definedName>
    <definedName name="catexrap">'[1]ANALISA HARGA'!$I$317</definedName>
    <definedName name="catin">'[1]ANALISA HARGA'!$F$332</definedName>
    <definedName name="catinrap">'[1]ANALISA HARGA'!$I$329</definedName>
    <definedName name="closetcw421">'[1]BOQ Bangunan A'!$J$60</definedName>
    <definedName name="closetcw421rap">'[1]BOQ Bangunan A'!$P$60</definedName>
    <definedName name="cork275">'[1]ANALISA HARGA'!$F$83</definedName>
    <definedName name="cork275rap">'[1]ANALISA HARGA'!$I$80</definedName>
    <definedName name="corsite">'[1]ANALISA HARGA'!$F$174</definedName>
    <definedName name="corsiterap">'[1]ANALISA HARGA'!$I$171</definedName>
    <definedName name="cylinder">'[1]Analisa kusen jangan disubmit'!$E$15</definedName>
    <definedName name="ddhead">'[1]BOQ Bangunan A'!$J$225</definedName>
    <definedName name="ddheadrap">'[1]BOQ Bangunan A'!$P$225</definedName>
    <definedName name="ddroster">'[1]BOQ Bangunan A'!$J$23</definedName>
    <definedName name="ddrosterrap">'[1]BOQ Bangunan A'!$P$23</definedName>
    <definedName name="ducokusen">'[1]Analisa kusen jangan disubmit'!$E$8</definedName>
    <definedName name="ducopintu">'[1]Analisa kusen jangan disubmit'!$E$10</definedName>
    <definedName name="expose">'[1]ANALISA HARGA'!$F$308</definedName>
    <definedName name="exposerap">'[1]ANALISA HARGA'!$I$305</definedName>
    <definedName name="floord">'[1]BOQ Bangunan A'!$J$63</definedName>
    <definedName name="floordrap">'[1]BOQ Bangunan A'!$P$63</definedName>
    <definedName name="gali">'[1]ANALISA HARGA'!$F$11</definedName>
    <definedName name="galirap">'[1]ANALISA HARGA'!$I$8</definedName>
    <definedName name="handle">'[1]Analisa kusen jangan disubmit'!$E$16</definedName>
    <definedName name="hanldeslide">'[1]Analisa kusen jangan disubmit'!$E$58</definedName>
    <definedName name="head465">'[1]BOQ Bangunan A'!$J$76</definedName>
    <definedName name="head465rap">'[1]BOQ Bangunan A'!$P$76</definedName>
    <definedName name="hinge">'[1]Analisa kusen jangan disubmit'!$E$13</definedName>
    <definedName name="jendw1">'[1]BOQ Bangunan A'!$J$458</definedName>
    <definedName name="jendw1gedb">'[1]BOQ Bangunan B'!$J$116</definedName>
    <definedName name="jendw1gedbrap">'[1]BOQ Bangunan B'!$P$116</definedName>
    <definedName name="jendw1rap">'[1]BOQ Bangunan A'!$P$458</definedName>
    <definedName name="jendw2">'[1]BOQ Bangunan A'!$J$465</definedName>
    <definedName name="jendw2rap">'[1]BOQ Bangunan A'!$P$465</definedName>
    <definedName name="jendw3">'[1]BOQ Bangunan A'!$J$135</definedName>
    <definedName name="jendw3rap">'[1]BOQ Bangunan A'!$P$135</definedName>
    <definedName name="jendw4">'[1]BOQ Bangunan A'!$J$147</definedName>
    <definedName name="jendw4rap">'[1]BOQ Bangunan A'!$P$147</definedName>
    <definedName name="jendw5">'[1]BOQ Bangunan A'!$J$153</definedName>
    <definedName name="jendw5rap">'[1]BOQ Bangunan A'!$P$153</definedName>
    <definedName name="jetwash">'[1]BOQ Bangunan A'!$J$61</definedName>
    <definedName name="jetwashrap">'[1]BOQ Bangunan A'!$P$61</definedName>
    <definedName name="kaca6">'[1]Analisa kusen jangan disubmit'!$E$43</definedName>
    <definedName name="kayu57">'[1]ANALISA HARGA'!$E$140</definedName>
    <definedName name="kayu57rap">'[1]ANALISA HARGA'!$H$140</definedName>
    <definedName name="kayu612">'[1]ANALISA HARGA'!$E$141</definedName>
    <definedName name="kayu612rap">'[1]ANALISA HARGA'!$H$141</definedName>
    <definedName name="klprak">'[1]ANALISA HARGA'!$F$181</definedName>
    <definedName name="klprakrap">'[1]ANALISA HARGA'!$I$180</definedName>
    <definedName name="koefbaut">'[1]RAB Building A'!$S$101</definedName>
    <definedName name="koefcat">'[1]REKAP TOTAL'!$J$7</definedName>
    <definedName name="koefdiscablme">'[1]REKAP TOTAL'!$M$3</definedName>
    <definedName name="koefinti">'[1]REKAP TOTAL'!$J$3</definedName>
    <definedName name="koefmat">'[1]REKAP TOTAL'!$J$1</definedName>
    <definedName name="koefme">'[1]REKAP TOTAL'!$M$2</definedName>
    <definedName name="koefpintu">'[1]REKAP TOTAL'!$J$6</definedName>
    <definedName name="koefplaf">'[1]REKAP TOTAL'!$J$5</definedName>
    <definedName name="koefup">'[1]REKAP TOTAL'!$J$2</definedName>
    <definedName name="kranshow474">'[1]BOQ Bangunan A'!$J$77</definedName>
    <definedName name="kranshow474rap">'[1]BOQ Bangunan A'!$P$77</definedName>
    <definedName name="kranwast116">'[1]BOQ Bangunan A'!$J$65</definedName>
    <definedName name="kranwast116rap">'[1]BOQ Bangunan A'!$P$65</definedName>
    <definedName name="kranwast118">'[1]BOQ Bangunan A'!$J$240</definedName>
    <definedName name="kranwast118rap">'[1]BOQ Bangunan A'!$P$240</definedName>
    <definedName name="kuasroll">'[1]ANALISA HARGA'!$E$314</definedName>
    <definedName name="kuasrollrap">'[1]ANALISA HARGA'!$H$314</definedName>
    <definedName name="kusenalum">'[1]Analisa kusen jangan disubmit'!$E$54</definedName>
    <definedName name="kusenkayu514">'[1]Analisa kusen jangan disubmit'!$E$7</definedName>
    <definedName name="lthom3030">'[1]ANALISA HARGA'!$F$228</definedName>
    <definedName name="lthom3030rap">'[1]ANALISA HARGA'!$I$225</definedName>
    <definedName name="lthom3060tg">'[1]ANALISA HARGA'!$F$242</definedName>
    <definedName name="lthom3060tgrap">'[1]ANALISA HARGA'!$I$239</definedName>
    <definedName name="lthom6060">'[1]ANALISA HARGA'!$F$256</definedName>
    <definedName name="lthom6060rap">'[1]ANALISA HARGA'!$I$253</definedName>
    <definedName name="ltkera3030">'[1]ANALISA HARGA'!$F$284</definedName>
    <definedName name="ltkera3030rap">'[1]ANALISA HARGA'!$I$281</definedName>
    <definedName name="ltkerja">'[1]ANALISA HARGA'!$F$50</definedName>
    <definedName name="ltkerjarap">'[1]ANALISA HARGA'!$I$47</definedName>
    <definedName name="ltterazzo">'[1]PEKERJAAN EXTERNAL'!$J$24</definedName>
    <definedName name="ltterazzorap">'[1]PEKERJAAN EXTERNAL'!$P$24</definedName>
    <definedName name="luas">[1]Review!$G$49</definedName>
    <definedName name="manhole">'[1]BOQ Bangunan A'!$J$45</definedName>
    <definedName name="manholerap">'[1]BOQ Bangunan A'!$P$45</definedName>
    <definedName name="mbesi">'[1]ANALISA HARGA'!$E$86</definedName>
    <definedName name="mbesirap">'[1]ANALISA HARGA'!$H$86</definedName>
    <definedName name="mjwast">'[1]BOQ Bangunan A'!$J$224</definedName>
    <definedName name="mjwastrap">'[1]BOQ Bangunan A'!$P$224</definedName>
    <definedName name="mjwriting">'[1]BOQ Bangunan A'!$J$223</definedName>
    <definedName name="mjwritingrap">'[1]BOQ Bangunan A'!$P$223</definedName>
    <definedName name="mortaracian">'[1]ANALISA HARGA'!$E$207</definedName>
    <definedName name="mortaracianrap">'[1]ANALISA HARGA'!$H$207</definedName>
    <definedName name="mortise">'[1]Analisa kusen jangan disubmit'!$E$14</definedName>
    <definedName name="multi12">'[1]ANALISA HARGA'!$E$139</definedName>
    <definedName name="multi12rap">'[1]ANALISA HARGA'!$H$139</definedName>
    <definedName name="paku">'[1]ANALISA HARGA'!$E$142</definedName>
    <definedName name="pakurap">'[1]ANALISA HARGA'!$H$142</definedName>
    <definedName name="papan">'[1]ANALISA HARGA'!$E$152</definedName>
    <definedName name="papanrap">'[1]ANALISA HARGA'!$H$152</definedName>
    <definedName name="paper">'[1]BOQ Bangunan A'!$J$62</definedName>
    <definedName name="paperrap">'[1]BOQ Bangunan A'!$P$62</definedName>
    <definedName name="pasbaja">'[1]RAB Building A'!$J$101</definedName>
    <definedName name="pasbajarap">'[1]RAB Building A'!$P$101</definedName>
    <definedName name="pasbata12">'[1]ANALISA HARGA'!$F$193</definedName>
    <definedName name="pasbata12rap">'[1]ANALISA HARGA'!$I$190</definedName>
    <definedName name="pasgrassblok">'[1]ANALISA HARGA'!$F$343</definedName>
    <definedName name="pasgrassblokrap">'[1]ANALISA HARGA'!$I$340</definedName>
    <definedName name="pasir">'[1]ANALISA HARGA'!$E$42</definedName>
    <definedName name="pasirps">'[1]ANALISA HARGA'!$E$54</definedName>
    <definedName name="pasirpsrap">'[1]ANALISA HARGA'!$H$54</definedName>
    <definedName name="pasirrap">'[1]ANALISA HARGA'!$H$42</definedName>
    <definedName name="pembesian">'[1]ANALISA HARGA'!$F$94</definedName>
    <definedName name="pembesianrap">'[1]ANALISA HARGA'!$I$91</definedName>
    <definedName name="pintualum">'[1]Analisa kusen jangan disubmit'!$E$55</definedName>
    <definedName name="pintud1">'[1]BOQ Bangunan A'!$J$93</definedName>
    <definedName name="pintud1rap">'[1]BOQ Bangunan A'!$P$93</definedName>
    <definedName name="pintud2">'[1]BOQ Bangunan A'!$J$107</definedName>
    <definedName name="pintud2gedb">'[1]BOQ Bangunan B'!$J$81</definedName>
    <definedName name="pintud2gedbrap">'[1]BOQ Bangunan B'!$P$81</definedName>
    <definedName name="pintud2rap">'[1]BOQ Bangunan A'!$P$107</definedName>
    <definedName name="pintud3">'[1]BOQ Bangunan A'!$J$121</definedName>
    <definedName name="pintud3gedb">'[1]BOQ Bangunan B'!$J$88</definedName>
    <definedName name="pintud3gedbrap">'[1]BOQ Bangunan B'!$P$88</definedName>
    <definedName name="pintud3rap">'[1]BOQ Bangunan A'!$P$121</definedName>
    <definedName name="pintud4">'[1]BOQ Bangunan A'!$J$291</definedName>
    <definedName name="pintud4rap">'[1]BOQ Bangunan A'!$P$291</definedName>
    <definedName name="pintud5">'[1]BOQ Bangunan A'!$J$422</definedName>
    <definedName name="pintud5rap">'[1]BOQ Bangunan A'!$P$422</definedName>
    <definedName name="pintud6">'[1]BOQ Bangunan A'!$J$436</definedName>
    <definedName name="pintud6rap">'[1]BOQ Bangunan A'!$P$436</definedName>
    <definedName name="pintud7">'[1]BOQ Bangunan A'!$J$444</definedName>
    <definedName name="pintud7gedb">'[1]BOQ Bangunan B'!$J$102</definedName>
    <definedName name="pintud7gedbrap">'[1]BOQ Bangunan B'!$P$102</definedName>
    <definedName name="pintud7rap">'[1]BOQ Bangunan A'!$P$444</definedName>
    <definedName name="pintud8">'[1]BOQ Bangunan A'!$J$298</definedName>
    <definedName name="pintud8ab">'[1]BOQ Bangunan A'!$J$305</definedName>
    <definedName name="pintud8abrap">'[1]BOQ Bangunan A'!$P$305</definedName>
    <definedName name="pintud8rap">'[1]BOQ Bangunan A'!$P$298</definedName>
    <definedName name="pintukayu">'[1]Analisa kusen jangan disubmit'!$E$9</definedName>
    <definedName name="plafgip">'[1]BOQ Bangunan A'!$J$41</definedName>
    <definedName name="plafgiprap">'[1]BOQ Bangunan A'!$P$41</definedName>
    <definedName name="plafgipwr">'[1]BOQ Bangunan A'!$J$43</definedName>
    <definedName name="plafgipwrrap">'[1]BOQ Bangunan A'!$P$43</definedName>
    <definedName name="plastik">'[1]ANALISA HARGA'!$E$156</definedName>
    <definedName name="plastikrap">'[1]ANALISA HARGA'!$H$156</definedName>
    <definedName name="platbaja10">'[1]RAB Building A'!$J$102</definedName>
    <definedName name="platbaja10rap">'[1]RAB Building A'!$P$102</definedName>
    <definedName name="plester11">'[1]ANALISA HARGA'!$F$204</definedName>
    <definedName name="plester11rap">'[1]ANALISA HARGA'!$I$201</definedName>
    <definedName name="plinthom">'[1]ANALISA HARGA'!$F$270</definedName>
    <definedName name="plinthomrap">'[1]ANALISA HARGA'!$I$267</definedName>
    <definedName name="plintkera">'[1]ANALISA HARGA'!$F$298</definedName>
    <definedName name="plintkerarap">'[1]ANALISA HARGA'!$I$295</definedName>
    <definedName name="ponbatu">'[1]ANALISA HARGA'!$F$73</definedName>
    <definedName name="ponbaturap">'[1]ANALISA HARGA'!$I$70</definedName>
    <definedName name="_xlnm.Print_Area" localSheetId="0">PB!$A$1:$F$52</definedName>
    <definedName name="railgelam">'[1]PEKERJAAN EXTERNAL'!$J$50</definedName>
    <definedName name="railgelamrap">'[1]PEKERJAAN EXTERNAL'!$P$50</definedName>
    <definedName name="railr01">'[1]BOQ Bangunan A'!$J$320</definedName>
    <definedName name="railr01rap">'[1]BOQ Bangunan A'!$P$320</definedName>
    <definedName name="railr02">'[1]BOQ Bangunan B'!$J$238</definedName>
    <definedName name="railr02rap">'[1]BOQ Bangunan B'!$P$238</definedName>
    <definedName name="railr03">'[1]BOQ Bangunan B'!$J$239</definedName>
    <definedName name="railr03rap">'[1]BOQ Bangunan B'!$P$239</definedName>
    <definedName name="railr09">'[1]BOQ Bangunan B'!$J$240</definedName>
    <definedName name="railr09rap">'[1]BOQ Bangunan B'!$P$240</definedName>
    <definedName name="railr10">'[1]BOQ Bangunan A'!$J$321</definedName>
    <definedName name="railr10rap">'[1]BOQ Bangunan A'!$P$321</definedName>
    <definedName name="rayap">'[1]RAB Building A'!$J$17</definedName>
    <definedName name="rayaprap">'[1]RAB Building A'!$P$17</definedName>
    <definedName name="relslide">'[1]Analisa kusen jangan disubmit'!$E$57</definedName>
    <definedName name="semen">'[1]ANALISA HARGA'!$E$41</definedName>
    <definedName name="semenrap">'[1]ANALISA HARGA'!$H$41</definedName>
    <definedName name="shadow">'[1]BOQ Bangunan A'!$J$44</definedName>
    <definedName name="shadowrap">'[1]BOQ Bangunan A'!$P$44</definedName>
    <definedName name="showmix443">'[1]BOQ Bangunan B'!$J$330</definedName>
    <definedName name="showmix443rap">'[1]BOQ Bangunan B'!$P$330</definedName>
    <definedName name="split">'[1]ANALISA HARGA'!$E$43</definedName>
    <definedName name="splitrap">'[1]ANALISA HARGA'!$H$43</definedName>
    <definedName name="strkayu">'[1]PEKERJAAN EXTERNAL'!$J$44</definedName>
    <definedName name="strkayurap">'[1]PEKERJAAN EXTERNAL'!$P$44</definedName>
    <definedName name="sudut">'[1]BOQ Bangunan A'!$J$19</definedName>
    <definedName name="sudutrap">'[1]BOQ Bangunan A'!$P$19</definedName>
    <definedName name="tali">'[1]BOQ Bangunan A'!$J$18</definedName>
    <definedName name="talirap">'[1]BOQ Bangunan A'!$P$18</definedName>
    <definedName name="tempshow">'[1]BOQ Bangunan A'!$J$202</definedName>
    <definedName name="tempshowrap">'[1]BOQ Bangunan A'!$P$202</definedName>
    <definedName name="ukur">'[1]RAB Building A'!$Q$10</definedName>
    <definedName name="ulindeck">'[1]BOQ Bangunan A'!$J$38</definedName>
    <definedName name="ulindeckrap">'[1]BOQ Bangunan A'!$P$38</definedName>
    <definedName name="upbekis">'[1]ANALISA HARGA'!$E$144</definedName>
    <definedName name="upbekisrap">'[1]ANALISA HARGA'!$H$144</definedName>
    <definedName name="upcatdd">'[1]ANALISA HARGA'!$E$316</definedName>
    <definedName name="upcatddrap">'[1]ANALISA HARGA'!$H$316</definedName>
    <definedName name="upcor">'[1]ANALISA HARGA'!$E$79</definedName>
    <definedName name="upcorrap">'[1]ANALISA HARGA'!$H$79</definedName>
    <definedName name="uppintu">'[1]Analisa kusen jangan disubmit'!$E$11</definedName>
    <definedName name="upponbatu">'[1]ANALISA HARGA'!$E$57</definedName>
    <definedName name="upponbaturap">'[1]ANALISA HARGA'!$H$57</definedName>
    <definedName name="upurug">'[1]ANALISA HARGA'!$E$34</definedName>
    <definedName name="upurugrap">'[1]ANALISA HARGA'!$H$34</definedName>
    <definedName name="upwire">'[1]ANALISA HARGA'!$E$110</definedName>
    <definedName name="upwirerap">'[1]ANALISA HARGA'!$H$110</definedName>
    <definedName name="uruglg">'[1]ANALISA HARGA'!$F$18</definedName>
    <definedName name="uruglgrap">'[1]ANALISA HARGA'!$I$15</definedName>
    <definedName name="urugps">'[1]ANALISA HARGA'!$F$38</definedName>
    <definedName name="urugpsrap">'[1]ANALISA HARGA'!$I$35</definedName>
    <definedName name="urugtn">'[1]ANALISA HARGA'!$F$28</definedName>
    <definedName name="urugtnrap">'[1]ANALISA HARGA'!$I$25</definedName>
    <definedName name="wast578">'[1]BOQ Bangunan A'!$J$64</definedName>
    <definedName name="wast578rap">'[1]BOQ Bangunan A'!$P$64</definedName>
    <definedName name="wastlw896">'[1]BOQ Bangunan A'!$J$239</definedName>
    <definedName name="wastlw896rap">'[1]BOQ Bangunan A'!$P$239</definedName>
    <definedName name="wirem6">'[1]ANALISA HARGA'!$F$104</definedName>
    <definedName name="wirem6rap">'[1]ANALISA HARGA'!$I$101</definedName>
    <definedName name="wirem7">'[1]ANALISA HARGA'!$F$114</definedName>
    <definedName name="wirem7rap">'[1]ANALISA HARGA'!$I$111</definedName>
    <definedName name="wirem8">'[1]ANALISA HARGA'!$F$124</definedName>
    <definedName name="wirem8rap">'[1]ANALISA HARGA'!$I$121</definedName>
    <definedName name="wtpcoat">'[1]BOQ Bangunan A'!$J$56</definedName>
    <definedName name="wtpcoatrap">'[1]BOQ Bangunan A'!$P$56</definedName>
    <definedName name="wtpinteg">'[1]Analisa kusen jangan disubmit'!$E$237</definedName>
  </definedNames>
  <calcPr calcId="191029"/>
</workbook>
</file>

<file path=xl/calcChain.xml><?xml version="1.0" encoding="utf-8"?>
<calcChain xmlns="http://schemas.openxmlformats.org/spreadsheetml/2006/main">
  <c r="F24" i="4" l="1"/>
  <c r="F23" i="4"/>
  <c r="F22" i="4"/>
  <c r="F25" i="4"/>
  <c r="J9" i="4"/>
  <c r="F21" i="4"/>
  <c r="F20" i="4"/>
  <c r="F26" i="4" l="1"/>
  <c r="F28" i="4" s="1"/>
</calcChain>
</file>

<file path=xl/sharedStrings.xml><?xml version="1.0" encoding="utf-8"?>
<sst xmlns="http://schemas.openxmlformats.org/spreadsheetml/2006/main" count="55" uniqueCount="53">
  <si>
    <t xml:space="preserve">   </t>
  </si>
  <si>
    <t xml:space="preserve">Customer </t>
  </si>
  <si>
    <t>QUOTATION</t>
  </si>
  <si>
    <t>Company</t>
  </si>
  <si>
    <t>Quotation No.</t>
  </si>
  <si>
    <t>CC</t>
  </si>
  <si>
    <t>Date</t>
  </si>
  <si>
    <t>Address</t>
  </si>
  <si>
    <t>Quotation Valid Until</t>
  </si>
  <si>
    <t>Phone</t>
  </si>
  <si>
    <t>Project</t>
  </si>
  <si>
    <t>Dengan hormat,</t>
  </si>
  <si>
    <t>Bersama ini kami sampaikan penawaran harga kepada Bapak/Ibu dengan rincian sebagai berikut :</t>
  </si>
  <si>
    <t>NOTE :</t>
  </si>
  <si>
    <t xml:space="preserve">    </t>
  </si>
  <si>
    <t>Demikian penawaran ini kami sampaikan, besar harapan kami mendapat respon dan hasil positif dari Bapak/Ibu.</t>
  </si>
  <si>
    <t>Atas perhatian dan kerjasamanya, kami ucapkan terima kasih.</t>
  </si>
  <si>
    <t>TOTAL</t>
  </si>
  <si>
    <t>PPN 11%</t>
  </si>
  <si>
    <t>GRAND TOTAL</t>
  </si>
  <si>
    <t>NO</t>
  </si>
  <si>
    <t xml:space="preserve">UNIT </t>
  </si>
  <si>
    <t>QTY</t>
  </si>
  <si>
    <t>(Rp.)</t>
  </si>
  <si>
    <t>DESCRIPTION</t>
  </si>
  <si>
    <t>UNIT PRICE</t>
  </si>
  <si>
    <t xml:space="preserve"> TOTAL</t>
  </si>
  <si>
    <t>-</t>
  </si>
  <si>
    <t xml:space="preserve">unit </t>
  </si>
  <si>
    <t xml:space="preserve">lot </t>
  </si>
  <si>
    <t>2. Penawaran belum termasuk PPN 11%</t>
  </si>
  <si>
    <t xml:space="preserve">    BCA Cabang Denpasar</t>
  </si>
  <si>
    <t xml:space="preserve">    Nomor Rekening : 6115025418 A/N I Putu Gede Putra Adnyana</t>
  </si>
  <si>
    <t>: -</t>
  </si>
  <si>
    <t xml:space="preserve">Materai </t>
  </si>
  <si>
    <t>lembar</t>
  </si>
  <si>
    <t>Sertifikat NIDI+SLO</t>
  </si>
  <si>
    <t xml:space="preserve">Jasa Administrasi Permohonan </t>
  </si>
  <si>
    <t>1. Jika setuju dengan penawaran diatas maka di lakukan Deposit sebesar BP (Poin 1)</t>
  </si>
  <si>
    <t xml:space="preserve">: Echo Land </t>
  </si>
  <si>
    <t xml:space="preserve">: Jl. Pantai Batu Mejan No. 88, Canggu </t>
  </si>
  <si>
    <t>: 087861882414</t>
  </si>
  <si>
    <t>: 0634/PH-UPE/VII/2026</t>
  </si>
  <si>
    <t>: 08 Juli 2026</t>
  </si>
  <si>
    <t>: 08 Agustus 2026</t>
  </si>
  <si>
    <t>: Pasang Baru Listrik Daya 7700VA (Prabayar)</t>
  </si>
  <si>
    <t xml:space="preserve">BP (Biaya Penyambungan) ke PLN </t>
  </si>
  <si>
    <t>Token (Pulsa)</t>
  </si>
  <si>
    <t>set</t>
  </si>
  <si>
    <t xml:space="preserve">berkas </t>
  </si>
  <si>
    <t>Panel 30x40cm + Paket Instalasi</t>
  </si>
  <si>
    <t>3. Apabila ada penambahan material/jasa diluar penawaran, maka akan dikenakan biaya</t>
  </si>
  <si>
    <t>4. Pembayaran dapat ditransfer ke rekening kami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</si>
</sst>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[$Rp-421]* #,##0_-;\-[$Rp-421]* #,##0_-;_-[$Rp-421]* &quot;-&quot;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indexed="64"/>
      </right>
      <top style="double">
        <color auto="1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3" fillId="0" borderId="0" applyFont="0" applyFill="0" applyBorder="0" applyAlignment="0" applyProtection="0"/>
    <xf numFmtId="0" fontId="1" fillId="0" borderId="0"/>
    <xf numFmtId="43" fontId="10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justify" vertical="center" wrapText="1"/>
    </xf>
    <xf numFmtId="165" fontId="0" fillId="0" borderId="0" xfId="0" applyNumberFormat="1"/>
    <xf numFmtId="41" fontId="0" fillId="0" borderId="0" xfId="1" applyFont="1"/>
    <xf numFmtId="0" fontId="5" fillId="0" borderId="0" xfId="2" applyFont="1"/>
    <xf numFmtId="0" fontId="6" fillId="0" borderId="0" xfId="2" applyFont="1"/>
    <xf numFmtId="0" fontId="5" fillId="0" borderId="0" xfId="0" applyFont="1"/>
    <xf numFmtId="165" fontId="5" fillId="0" borderId="0" xfId="0" applyNumberFormat="1" applyFont="1"/>
    <xf numFmtId="0" fontId="8" fillId="0" borderId="0" xfId="0" applyFont="1"/>
    <xf numFmtId="41" fontId="8" fillId="0" borderId="0" xfId="1" applyFont="1"/>
    <xf numFmtId="0" fontId="5" fillId="0" borderId="3" xfId="0" applyFont="1" applyBorder="1"/>
    <xf numFmtId="0" fontId="5" fillId="0" borderId="4" xfId="0" applyFont="1" applyBorder="1"/>
    <xf numFmtId="0" fontId="5" fillId="0" borderId="0" xfId="0" applyFont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3" fontId="0" fillId="0" borderId="0" xfId="0" applyNumberFormat="1"/>
    <xf numFmtId="164" fontId="0" fillId="0" borderId="0" xfId="3" applyNumberFormat="1" applyFont="1"/>
    <xf numFmtId="164" fontId="5" fillId="0" borderId="0" xfId="3" applyNumberFormat="1" applyFont="1"/>
    <xf numFmtId="164" fontId="2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left" vertical="center"/>
    </xf>
    <xf numFmtId="164" fontId="4" fillId="0" borderId="14" xfId="3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64" fontId="4" fillId="0" borderId="5" xfId="3" applyNumberFormat="1" applyFont="1" applyBorder="1" applyAlignment="1">
      <alignment horizontal="center" vertical="center"/>
    </xf>
    <xf numFmtId="41" fontId="4" fillId="0" borderId="8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/>
    </xf>
    <xf numFmtId="164" fontId="7" fillId="0" borderId="12" xfId="3" applyNumberFormat="1" applyFont="1" applyBorder="1" applyAlignment="1">
      <alignment horizontal="center" vertical="center"/>
    </xf>
    <xf numFmtId="164" fontId="7" fillId="0" borderId="1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3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left" vertical="center" wrapText="1" shrinkToFit="1"/>
    </xf>
    <xf numFmtId="3" fontId="4" fillId="0" borderId="8" xfId="0" applyNumberFormat="1" applyFont="1" applyBorder="1" applyAlignment="1">
      <alignment vertical="center"/>
    </xf>
    <xf numFmtId="3" fontId="4" fillId="0" borderId="8" xfId="0" applyNumberFormat="1" applyFont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164" fontId="4" fillId="2" borderId="0" xfId="3" applyNumberFormat="1" applyFont="1" applyFill="1" applyAlignment="1">
      <alignment vertical="center"/>
    </xf>
    <xf numFmtId="0" fontId="5" fillId="0" borderId="0" xfId="2" applyFont="1" applyFill="1"/>
    <xf numFmtId="43" fontId="5" fillId="0" borderId="0" xfId="0" applyNumberFormat="1" applyFont="1" applyFill="1"/>
    <xf numFmtId="164" fontId="5" fillId="0" borderId="4" xfId="3" applyNumberFormat="1" applyFont="1" applyBorder="1"/>
    <xf numFmtId="41" fontId="5" fillId="0" borderId="20" xfId="0" applyNumberFormat="1" applyFont="1" applyBorder="1"/>
    <xf numFmtId="41" fontId="9" fillId="0" borderId="8" xfId="0" applyNumberFormat="1" applyFont="1" applyBorder="1" applyAlignment="1"/>
    <xf numFmtId="0" fontId="4" fillId="0" borderId="1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right" vertical="center"/>
    </xf>
    <xf numFmtId="3" fontId="4" fillId="0" borderId="10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164" fontId="4" fillId="2" borderId="9" xfId="3" applyNumberFormat="1" applyFont="1" applyFill="1" applyBorder="1" applyAlignment="1">
      <alignment horizontal="right"/>
    </xf>
    <xf numFmtId="164" fontId="4" fillId="2" borderId="10" xfId="3" applyNumberFormat="1" applyFont="1" applyFill="1" applyBorder="1" applyAlignment="1">
      <alignment horizontal="right"/>
    </xf>
    <xf numFmtId="164" fontId="4" fillId="2" borderId="21" xfId="3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</cellXfs>
  <cellStyles count="4">
    <cellStyle name="Comma" xfId="3" builtinId="3"/>
    <cellStyle name="Comma [0]" xfId="1" builtinId="6"/>
    <cellStyle name="Normal" xfId="0" builtinId="0"/>
    <cellStyle name="Normal 2" xfId="2" xr:uid="{05F617E2-59AC-4DB3-8F57-8C1759CD545A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619126</xdr:colOff>
      <xdr:row>39</xdr:row>
      <xdr:rowOff>150495</xdr:rowOff>
    </xdr:from>
    <xdr:to>
      <xdr:col>6</xdr:col>
      <xdr:colOff>1</xdr:colOff>
      <xdr:row>51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4FA5488-F56B-4691-BEF2-DB9958ABD1A6}"/>
            </a:ext>
          </a:extLst>
        </xdr:cNvPr>
        <xdr:cNvSpPr txBox="1"/>
      </xdr:nvSpPr>
      <xdr:spPr>
        <a:xfrm>
          <a:off x="5362576" y="10113645"/>
          <a:ext cx="4752975" cy="21545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Approved By,</a:t>
          </a:r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r>
            <a:rPr lang="en-US" sz="1600" b="1" u="sng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I Putu Gede Putra Adnyana, S.T., M.M.</a:t>
          </a:r>
        </a:p>
        <a:p>
          <a:pPr algn="ctr"/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Pimpinan</a:t>
          </a:r>
          <a:endParaRPr lang="en-US" sz="1600">
            <a:effectLst/>
          </a:endParaRPr>
        </a:p>
      </xdr:txBody>
    </xdr:sp>
    <xdr:clientData/>
  </xdr:twoCellAnchor>
  <xdr:twoCellAnchor>
    <xdr:from>
      <xdr:col>0</xdr:col>
      <xdr:colOff>409575</xdr:colOff>
      <xdr:row>40</xdr:row>
      <xdr:rowOff>19050</xdr:rowOff>
    </xdr:from>
    <xdr:to>
      <xdr:col>2</xdr:col>
      <xdr:colOff>504825</xdr:colOff>
      <xdr:row>51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5BA82B3-645B-4CB1-A8F9-9147B61BEFDE}"/>
            </a:ext>
          </a:extLst>
        </xdr:cNvPr>
        <xdr:cNvSpPr txBox="1"/>
      </xdr:nvSpPr>
      <xdr:spPr>
        <a:xfrm>
          <a:off x="409575" y="10410825"/>
          <a:ext cx="4838700" cy="22574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Prepared by,</a:t>
          </a:r>
        </a:p>
        <a:p>
          <a:pPr marL="0" indent="0" algn="ctr"/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UD </a:t>
          </a:r>
          <a:r>
            <a:rPr lang="id-ID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PUTRA ENGINEERING</a:t>
          </a: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r>
            <a:rPr lang="en-US" sz="1600" b="1" u="sng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Wintari</a:t>
          </a:r>
        </a:p>
        <a:p>
          <a:pPr marL="0" indent="0" algn="ctr"/>
          <a:r>
            <a:rPr lang="id-ID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Admin Back Office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7.%20Hostel%20Bali\BOQ\ABL%20-%20RAB%20KOMIUNITY%20HOTEL-nEGO%20fINAL%20sUBMIT%20vol%20ce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ew"/>
      <sheetName val="Biaya Umum Lapangan"/>
      <sheetName val="Tambahan Baru Nemu"/>
      <sheetName val="REKAP TOTAL"/>
      <sheetName val="Additional BOQ Rope at Column"/>
      <sheetName val="PERSIAPAN"/>
      <sheetName val="REKAP STRUKTUR"/>
      <sheetName val="RAB Building A"/>
      <sheetName val="RAB Building B"/>
      <sheetName val="RAB Pool"/>
      <sheetName val="RAB Pool Bar"/>
      <sheetName val="RAB Genzet"/>
      <sheetName val="RAB Pool Deck"/>
      <sheetName val="REKAP ARS"/>
      <sheetName val="BOQ Bangunan A"/>
      <sheetName val="BOQ Bangunan B"/>
      <sheetName val="PEKERJAAN EXTERNAL"/>
      <sheetName val="REKAP ME"/>
      <sheetName val="Electrical"/>
      <sheetName val="Electronic"/>
      <sheetName val="Electronic (2)"/>
      <sheetName val="Air Conditioning"/>
      <sheetName val="Plumbing"/>
      <sheetName val="Swimming Pool"/>
      <sheetName val="Fire Fighting"/>
      <sheetName val="Gas"/>
      <sheetName val="ANALISA HARGA"/>
      <sheetName val="Analisa kusen jangan disubmit"/>
      <sheetName val="Material Specification"/>
      <sheetName val="Cover"/>
      <sheetName val="COVER STR"/>
      <sheetName val="Cover ARS"/>
      <sheetName val="Cover 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60A96-5F1B-4906-9B03-A2D5C5CE90A1}">
  <sheetPr>
    <tabColor rgb="FF7030A0"/>
  </sheetPr>
  <dimension ref="A3:J53"/>
  <sheetViews>
    <sheetView tabSelected="1" topLeftCell="A25" zoomScaleNormal="100" zoomScaleSheetLayoutView="100" workbookViewId="0">
      <selection activeCell="J35" sqref="J35"/>
    </sheetView>
  </sheetViews>
  <sheetFormatPr defaultColWidth="9" defaultRowHeight="15"/>
  <cols>
    <col min="1" max="1" width="12" style="1" customWidth="1"/>
    <col min="2" max="2" width="59.140625" style="2" customWidth="1"/>
    <col min="3" max="3" width="11.85546875" style="1" customWidth="1"/>
    <col min="4" max="4" width="10.7109375" style="1" customWidth="1"/>
    <col min="5" max="5" width="28.140625" style="18" customWidth="1"/>
    <col min="6" max="6" width="30.85546875" style="2" customWidth="1"/>
    <col min="10" max="11" width="14.140625" customWidth="1"/>
    <col min="13" max="13" width="14.140625" customWidth="1"/>
    <col min="15" max="16" width="14.140625" customWidth="1"/>
  </cols>
  <sheetData>
    <row r="3" spans="1:10">
      <c r="A3"/>
      <c r="B3"/>
      <c r="C3"/>
      <c r="D3"/>
      <c r="E3" s="16"/>
      <c r="F3" s="3"/>
      <c r="G3" s="4"/>
    </row>
    <row r="4" spans="1:10">
      <c r="A4"/>
      <c r="B4"/>
      <c r="C4"/>
      <c r="D4"/>
      <c r="E4" s="16"/>
      <c r="F4" s="3"/>
      <c r="G4" s="4"/>
    </row>
    <row r="5" spans="1:10">
      <c r="A5"/>
      <c r="B5"/>
      <c r="C5"/>
      <c r="D5"/>
      <c r="E5" s="16"/>
      <c r="F5" s="3"/>
      <c r="G5" s="4"/>
    </row>
    <row r="6" spans="1:10">
      <c r="A6"/>
      <c r="B6"/>
      <c r="C6"/>
      <c r="D6"/>
      <c r="E6" s="16"/>
      <c r="F6" s="3"/>
      <c r="G6" s="4"/>
    </row>
    <row r="7" spans="1:10">
      <c r="A7"/>
      <c r="B7"/>
      <c r="C7"/>
      <c r="D7"/>
      <c r="E7" s="16"/>
      <c r="F7" s="3"/>
      <c r="G7" s="4"/>
    </row>
    <row r="8" spans="1:10" ht="21">
      <c r="A8" s="36" t="s">
        <v>1</v>
      </c>
      <c r="B8" s="37"/>
      <c r="C8" s="38"/>
      <c r="D8" s="38"/>
      <c r="E8" s="39" t="s">
        <v>2</v>
      </c>
      <c r="F8" s="8"/>
      <c r="G8" s="4"/>
    </row>
    <row r="9" spans="1:10" ht="21">
      <c r="A9" s="5" t="s">
        <v>3</v>
      </c>
      <c r="B9" s="40" t="s">
        <v>39</v>
      </c>
      <c r="C9" s="7"/>
      <c r="D9" s="7"/>
      <c r="E9" s="17" t="s">
        <v>4</v>
      </c>
      <c r="F9" s="41" t="s">
        <v>42</v>
      </c>
      <c r="G9" s="4"/>
      <c r="J9" s="15" t="e">
        <f>#REF!</f>
        <v>#REF!</v>
      </c>
    </row>
    <row r="10" spans="1:10" ht="21">
      <c r="A10" s="5" t="s">
        <v>5</v>
      </c>
      <c r="B10" s="40" t="s">
        <v>33</v>
      </c>
      <c r="C10" s="7"/>
      <c r="D10" s="7"/>
      <c r="E10" s="17" t="s">
        <v>6</v>
      </c>
      <c r="F10" s="41" t="s">
        <v>43</v>
      </c>
      <c r="G10" s="4"/>
    </row>
    <row r="11" spans="1:10" ht="21">
      <c r="A11" s="5" t="s">
        <v>7</v>
      </c>
      <c r="B11" s="40" t="s">
        <v>40</v>
      </c>
      <c r="C11" s="7"/>
      <c r="D11" s="7"/>
      <c r="E11" s="17" t="s">
        <v>8</v>
      </c>
      <c r="F11" s="41" t="s">
        <v>44</v>
      </c>
      <c r="G11" s="4"/>
    </row>
    <row r="12" spans="1:10" ht="21">
      <c r="A12" s="5" t="s">
        <v>9</v>
      </c>
      <c r="B12" s="40" t="s">
        <v>41</v>
      </c>
      <c r="C12" s="7"/>
      <c r="D12" s="7"/>
      <c r="E12" s="17"/>
      <c r="F12" s="8"/>
      <c r="G12" s="4"/>
    </row>
    <row r="13" spans="1:10" ht="21">
      <c r="A13" s="5" t="s">
        <v>10</v>
      </c>
      <c r="B13" s="40" t="s">
        <v>45</v>
      </c>
      <c r="C13" s="7"/>
      <c r="D13" s="7"/>
      <c r="E13" s="17"/>
      <c r="F13" s="8"/>
      <c r="G13" s="4"/>
    </row>
    <row r="14" spans="1:10" ht="21">
      <c r="A14" s="5"/>
      <c r="B14" s="6"/>
      <c r="C14" s="7"/>
      <c r="D14" s="7"/>
      <c r="E14" s="17"/>
      <c r="F14" s="8"/>
      <c r="G14" s="4"/>
    </row>
    <row r="15" spans="1:10" ht="21">
      <c r="A15" s="7" t="s">
        <v>11</v>
      </c>
      <c r="B15" s="7"/>
      <c r="C15" s="7"/>
      <c r="D15" s="7"/>
      <c r="E15" s="17"/>
      <c r="F15" s="8"/>
      <c r="G15" s="4"/>
    </row>
    <row r="16" spans="1:10" ht="21">
      <c r="A16" s="7" t="s">
        <v>12</v>
      </c>
      <c r="B16" s="7"/>
      <c r="C16" s="7"/>
      <c r="D16" s="7"/>
      <c r="E16" s="17"/>
      <c r="F16" s="8"/>
      <c r="G16" s="4"/>
    </row>
    <row r="17" spans="1:7" ht="15.75" thickBot="1">
      <c r="B17" s="2" t="s">
        <v>0</v>
      </c>
    </row>
    <row r="18" spans="1:7" ht="21.75" thickTop="1">
      <c r="A18" s="45" t="s">
        <v>20</v>
      </c>
      <c r="B18" s="47" t="s">
        <v>24</v>
      </c>
      <c r="C18" s="49" t="s">
        <v>21</v>
      </c>
      <c r="D18" s="47" t="s">
        <v>22</v>
      </c>
      <c r="E18" s="20" t="s">
        <v>25</v>
      </c>
      <c r="F18" s="21" t="s">
        <v>26</v>
      </c>
    </row>
    <row r="19" spans="1:7" ht="21">
      <c r="A19" s="46"/>
      <c r="B19" s="48"/>
      <c r="C19" s="50"/>
      <c r="D19" s="48"/>
      <c r="E19" s="22" t="s">
        <v>23</v>
      </c>
      <c r="F19" s="23" t="s">
        <v>23</v>
      </c>
    </row>
    <row r="20" spans="1:7" ht="25.5" customHeight="1">
      <c r="A20" s="24">
        <v>1</v>
      </c>
      <c r="B20" s="25" t="s">
        <v>46</v>
      </c>
      <c r="C20" s="26" t="s">
        <v>28</v>
      </c>
      <c r="D20" s="26">
        <v>1</v>
      </c>
      <c r="E20" s="27">
        <v>8431269</v>
      </c>
      <c r="F20" s="28">
        <f>E20*D20</f>
        <v>8431269</v>
      </c>
    </row>
    <row r="21" spans="1:7" ht="25.5" customHeight="1">
      <c r="A21" s="29">
        <v>2</v>
      </c>
      <c r="B21" s="30" t="s">
        <v>34</v>
      </c>
      <c r="C21" s="31" t="s">
        <v>35</v>
      </c>
      <c r="D21" s="31">
        <v>2</v>
      </c>
      <c r="E21" s="32">
        <v>10000</v>
      </c>
      <c r="F21" s="28">
        <f t="shared" ref="F21:F25" si="0">E21*D21</f>
        <v>20000</v>
      </c>
    </row>
    <row r="22" spans="1:7" ht="25.5" customHeight="1">
      <c r="A22" s="24">
        <v>3</v>
      </c>
      <c r="B22" s="30" t="s">
        <v>47</v>
      </c>
      <c r="C22" s="31" t="s">
        <v>48</v>
      </c>
      <c r="D22" s="31">
        <v>1</v>
      </c>
      <c r="E22" s="32">
        <v>20000</v>
      </c>
      <c r="F22" s="28">
        <f t="shared" ref="F22" si="1">E22*D22</f>
        <v>20000</v>
      </c>
    </row>
    <row r="23" spans="1:7" ht="25.5" customHeight="1">
      <c r="A23" s="24">
        <v>4</v>
      </c>
      <c r="B23" s="30" t="s">
        <v>36</v>
      </c>
      <c r="C23" s="31" t="s">
        <v>49</v>
      </c>
      <c r="D23" s="31">
        <v>1</v>
      </c>
      <c r="E23" s="32">
        <v>962500</v>
      </c>
      <c r="F23" s="28">
        <f t="shared" ref="F23:F24" si="2">E23*D23</f>
        <v>962500</v>
      </c>
    </row>
    <row r="24" spans="1:7" ht="25.5" customHeight="1">
      <c r="A24" s="24">
        <v>5</v>
      </c>
      <c r="B24" s="30" t="s">
        <v>50</v>
      </c>
      <c r="C24" s="31" t="s">
        <v>28</v>
      </c>
      <c r="D24" s="31">
        <v>1</v>
      </c>
      <c r="E24" s="32">
        <v>1700000</v>
      </c>
      <c r="F24" s="28">
        <f t="shared" si="2"/>
        <v>1700000</v>
      </c>
    </row>
    <row r="25" spans="1:7" ht="25.5" customHeight="1">
      <c r="A25" s="29">
        <v>6</v>
      </c>
      <c r="B25" s="33" t="s">
        <v>37</v>
      </c>
      <c r="C25" s="31" t="s">
        <v>29</v>
      </c>
      <c r="D25" s="31">
        <v>1</v>
      </c>
      <c r="E25" s="32">
        <v>2000000</v>
      </c>
      <c r="F25" s="28">
        <f t="shared" si="0"/>
        <v>2000000</v>
      </c>
    </row>
    <row r="26" spans="1:7" ht="21">
      <c r="A26" s="51" t="s">
        <v>17</v>
      </c>
      <c r="B26" s="52"/>
      <c r="C26" s="52"/>
      <c r="D26" s="52"/>
      <c r="E26" s="52"/>
      <c r="F26" s="34">
        <f>SUM(F20:F25)</f>
        <v>13133769</v>
      </c>
    </row>
    <row r="27" spans="1:7" ht="21">
      <c r="A27" s="51" t="s">
        <v>18</v>
      </c>
      <c r="B27" s="52"/>
      <c r="C27" s="52"/>
      <c r="D27" s="52"/>
      <c r="E27" s="52"/>
      <c r="F27" s="35" t="s">
        <v>27</v>
      </c>
    </row>
    <row r="28" spans="1:7" ht="23.25">
      <c r="A28" s="60" t="s">
        <v>19</v>
      </c>
      <c r="B28" s="61"/>
      <c r="C28" s="61"/>
      <c r="D28" s="61"/>
      <c r="E28" s="62"/>
      <c r="F28" s="44">
        <f>F26</f>
        <v>13133769</v>
      </c>
    </row>
    <row r="29" spans="1:7" s="9" customFormat="1" ht="21">
      <c r="A29" s="63" t="s">
        <v>13</v>
      </c>
      <c r="B29" s="64"/>
      <c r="C29" s="64"/>
      <c r="D29" s="64"/>
      <c r="E29" s="64"/>
      <c r="F29" s="65"/>
      <c r="G29" s="10"/>
    </row>
    <row r="30" spans="1:7" ht="21">
      <c r="A30" s="57" t="s">
        <v>38</v>
      </c>
      <c r="B30" s="58"/>
      <c r="C30" s="58"/>
      <c r="D30" s="58"/>
      <c r="E30" s="58"/>
      <c r="F30" s="59"/>
      <c r="G30" s="4"/>
    </row>
    <row r="31" spans="1:7" ht="21">
      <c r="A31" s="53" t="s">
        <v>30</v>
      </c>
      <c r="B31" s="54"/>
      <c r="C31" s="54"/>
      <c r="D31" s="54"/>
      <c r="E31" s="54"/>
      <c r="F31" s="55"/>
      <c r="G31" s="4"/>
    </row>
    <row r="32" spans="1:7" ht="21">
      <c r="A32" s="57" t="s">
        <v>51</v>
      </c>
      <c r="B32" s="58"/>
      <c r="C32" s="58"/>
      <c r="D32" s="58"/>
      <c r="E32" s="58"/>
      <c r="F32" s="59"/>
      <c r="G32" s="4"/>
    </row>
    <row r="33" spans="1:7" ht="21">
      <c r="A33" s="53" t="s">
        <v>52</v>
      </c>
      <c r="B33" s="54"/>
      <c r="C33" s="54"/>
      <c r="D33" s="54"/>
      <c r="E33" s="54"/>
      <c r="F33" s="55"/>
      <c r="G33" s="4"/>
    </row>
    <row r="34" spans="1:7" ht="21">
      <c r="A34" s="53" t="s">
        <v>31</v>
      </c>
      <c r="B34" s="54"/>
      <c r="C34" s="54"/>
      <c r="D34" s="54"/>
      <c r="E34" s="54"/>
      <c r="F34" s="55"/>
      <c r="G34" s="4"/>
    </row>
    <row r="35" spans="1:7" ht="21" customHeight="1">
      <c r="A35" s="57" t="s">
        <v>32</v>
      </c>
      <c r="B35" s="58"/>
      <c r="C35" s="58"/>
      <c r="D35" s="58"/>
      <c r="E35" s="58"/>
      <c r="F35" s="59"/>
      <c r="G35" s="4"/>
    </row>
    <row r="36" spans="1:7" ht="21.75" thickBot="1">
      <c r="A36" s="11" t="s">
        <v>14</v>
      </c>
      <c r="B36" s="12"/>
      <c r="C36" s="12"/>
      <c r="D36" s="12"/>
      <c r="E36" s="42"/>
      <c r="F36" s="43"/>
      <c r="G36" s="4"/>
    </row>
    <row r="37" spans="1:7" ht="21.75" thickTop="1">
      <c r="A37" s="7"/>
      <c r="B37" s="7"/>
      <c r="C37" s="7"/>
      <c r="D37" s="7"/>
      <c r="E37" s="17"/>
      <c r="F37" s="8"/>
      <c r="G37" s="4"/>
    </row>
    <row r="38" spans="1:7" ht="21">
      <c r="A38" s="56" t="s">
        <v>15</v>
      </c>
      <c r="B38" s="56"/>
      <c r="C38" s="56"/>
      <c r="D38" s="56"/>
      <c r="E38" s="56"/>
      <c r="F38" s="56"/>
      <c r="G38" s="4"/>
    </row>
    <row r="39" spans="1:7" ht="21">
      <c r="A39" s="13" t="s">
        <v>16</v>
      </c>
      <c r="B39" s="13"/>
      <c r="C39" s="13"/>
      <c r="D39" s="13"/>
      <c r="E39" s="19"/>
      <c r="F39" s="14"/>
      <c r="G39" s="4"/>
    </row>
    <row r="40" spans="1:7">
      <c r="A40"/>
      <c r="B40"/>
      <c r="C40"/>
      <c r="D40"/>
      <c r="E40" s="16"/>
      <c r="F40" s="3"/>
      <c r="G40" s="4"/>
    </row>
    <row r="41" spans="1:7">
      <c r="A41"/>
      <c r="B41"/>
      <c r="C41"/>
      <c r="D41"/>
      <c r="E41" s="16"/>
      <c r="F41" s="3"/>
      <c r="G41" s="4"/>
    </row>
    <row r="42" spans="1:7">
      <c r="A42"/>
      <c r="B42"/>
      <c r="C42"/>
      <c r="D42"/>
      <c r="E42" s="16"/>
      <c r="F42" s="3"/>
      <c r="G42" s="4"/>
    </row>
    <row r="43" spans="1:7">
      <c r="A43"/>
      <c r="B43"/>
      <c r="C43"/>
      <c r="D43"/>
      <c r="E43" s="16"/>
      <c r="F43" s="3"/>
      <c r="G43" s="4"/>
    </row>
    <row r="44" spans="1:7">
      <c r="A44"/>
      <c r="B44"/>
      <c r="C44"/>
      <c r="D44"/>
      <c r="E44" s="16"/>
      <c r="F44" s="3"/>
      <c r="G44" s="4"/>
    </row>
    <row r="45" spans="1:7">
      <c r="A45"/>
      <c r="B45"/>
      <c r="C45"/>
      <c r="D45"/>
      <c r="E45" s="16"/>
      <c r="F45" s="3"/>
      <c r="G45" s="4"/>
    </row>
    <row r="46" spans="1:7">
      <c r="A46"/>
      <c r="B46"/>
      <c r="C46"/>
      <c r="D46"/>
      <c r="E46" s="16"/>
      <c r="F46" s="3"/>
      <c r="G46" s="4"/>
    </row>
    <row r="47" spans="1:7">
      <c r="A47"/>
      <c r="B47"/>
      <c r="C47"/>
      <c r="D47"/>
      <c r="E47" s="16"/>
      <c r="F47" s="3"/>
      <c r="G47" s="4"/>
    </row>
    <row r="48" spans="1:7">
      <c r="A48"/>
      <c r="B48"/>
      <c r="C48"/>
      <c r="D48"/>
      <c r="E48" s="16"/>
      <c r="F48" s="3"/>
      <c r="G48" s="4"/>
    </row>
    <row r="49" spans="1:7">
      <c r="A49"/>
      <c r="B49"/>
      <c r="C49"/>
      <c r="D49"/>
      <c r="E49" s="16"/>
      <c r="F49" s="3"/>
      <c r="G49" s="4"/>
    </row>
    <row r="50" spans="1:7">
      <c r="A50"/>
      <c r="B50"/>
      <c r="C50"/>
      <c r="D50"/>
      <c r="E50" s="16"/>
      <c r="F50" s="3"/>
      <c r="G50" s="4"/>
    </row>
    <row r="51" spans="1:7">
      <c r="A51"/>
      <c r="B51"/>
      <c r="C51"/>
      <c r="D51"/>
      <c r="E51" s="16"/>
      <c r="F51" s="3"/>
      <c r="G51" s="4"/>
    </row>
    <row r="52" spans="1:7">
      <c r="A52"/>
      <c r="B52"/>
      <c r="C52"/>
      <c r="D52"/>
      <c r="E52" s="16"/>
      <c r="F52" s="3"/>
      <c r="G52" s="4"/>
    </row>
    <row r="53" spans="1:7">
      <c r="A53"/>
      <c r="B53"/>
      <c r="C53"/>
      <c r="D53"/>
      <c r="E53" s="16"/>
      <c r="F53" s="3"/>
      <c r="G53" s="4"/>
    </row>
  </sheetData>
  <mergeCells count="15">
    <mergeCell ref="A33:F33"/>
    <mergeCell ref="A38:F38"/>
    <mergeCell ref="A34:F34"/>
    <mergeCell ref="A35:F35"/>
    <mergeCell ref="A27:E27"/>
    <mergeCell ref="A28:E28"/>
    <mergeCell ref="A29:F29"/>
    <mergeCell ref="A30:F30"/>
    <mergeCell ref="A31:F31"/>
    <mergeCell ref="A32:F32"/>
    <mergeCell ref="A18:A19"/>
    <mergeCell ref="B18:B19"/>
    <mergeCell ref="C18:C19"/>
    <mergeCell ref="D18:D19"/>
    <mergeCell ref="A26:E26"/>
  </mergeCells>
  <pageMargins left="0.4" right="0" top="0.75" bottom="0.74803149606299202" header="0.31496062992126" footer="0.31496062992126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PB</vt:lpstr>
      <vt:lpstr>PB!Print_Area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INTI-ADAM</dc:creator>
  <cp:lastModifiedBy>COMPUTER</cp:lastModifiedBy>
  <cp:lastPrinted>2026-07-08T06:49:50Z</cp:lastPrinted>
  <dcterms:created xsi:type="dcterms:W3CDTF">2026-02-21T05:35:13Z</dcterms:created>
  <dcterms:modified xsi:type="dcterms:W3CDTF">2026-07-08T07:19:43Z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40597130BA964A50A80190FCC6A6447E_11</vt:lpwstr>
  </property>
  <property fmtid="{D5CDD505-2E9C-101B-9397-08002B2CF9AE}" pid="3" name="KSOProductBuildVer">
    <vt:lpwstr>1033-12.2.0.23196</vt:lpwstr>
  </property>
</Properties>
</file>